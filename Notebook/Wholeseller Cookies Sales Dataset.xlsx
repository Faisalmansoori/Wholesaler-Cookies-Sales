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ash\OneDrive\Desktop\Github\Excel\Wholeseller Cookies Sales Dataset\"/>
    </mc:Choice>
  </mc:AlternateContent>
  <xr:revisionPtr revIDLastSave="0" documentId="13_ncr:1_{7CE6C330-9EA6-49FC-A633-982FC99F1046}" xr6:coauthVersionLast="47" xr6:coauthVersionMax="47" xr10:uidLastSave="{00000000-0000-0000-0000-000000000000}"/>
  <bookViews>
    <workbookView xWindow="-120" yWindow="-120" windowWidth="20730" windowHeight="11760" xr2:uid="{091E8927-633A-4EB7-9F19-CA9A14A9428B}"/>
  </bookViews>
  <sheets>
    <sheet name="Index" sheetId="10" r:id="rId1"/>
    <sheet name="V1" sheetId="8" r:id="rId2"/>
    <sheet name="V2" sheetId="9" r:id="rId3"/>
    <sheet name="V3" sheetId="12" r:id="rId4"/>
    <sheet name="V4" sheetId="3" r:id="rId5"/>
    <sheet name="V5" sheetId="6" r:id="rId6"/>
    <sheet name="V6" sheetId="7" r:id="rId7"/>
  </sheets>
  <definedNames>
    <definedName name="_xlnm._FilterDatabase" localSheetId="2" hidden="1">'V2'!$A$1:$K$701</definedName>
    <definedName name="_xlnm._FilterDatabase" localSheetId="4" hidden="1">'V4'!$A$1:$H$701</definedName>
    <definedName name="_xlchart.v1.0" hidden="1">'V5'!$Y$18:$Y$23</definedName>
    <definedName name="_xlchart.v1.1" hidden="1">'V5'!$Z$17</definedName>
    <definedName name="_xlchart.v1.2" hidden="1">'V5'!$Z$18:$Z$23</definedName>
    <definedName name="Slicer_Months__Date">#N/A</definedName>
    <definedName name="Slicer_Years_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 i="12" l="1"/>
  <c r="L7" i="12"/>
  <c r="L8" i="12"/>
  <c r="L9" i="12"/>
  <c r="L10" i="12"/>
  <c r="L5" i="12"/>
  <c r="K6" i="12"/>
  <c r="K7" i="12"/>
  <c r="K8" i="12"/>
  <c r="K9" i="12"/>
  <c r="K10" i="12"/>
  <c r="K5" i="12"/>
  <c r="J6" i="12"/>
  <c r="J7" i="12"/>
  <c r="J8" i="12"/>
  <c r="J9" i="12"/>
  <c r="J10" i="12"/>
  <c r="J5" i="12"/>
  <c r="I6" i="12"/>
  <c r="I7" i="12"/>
  <c r="I8" i="12"/>
  <c r="I9" i="12"/>
  <c r="I10" i="12"/>
  <c r="I5" i="12"/>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2" i="9"/>
  <c r="H6" i="12"/>
  <c r="H7" i="12"/>
  <c r="H8" i="12"/>
  <c r="H9" i="12"/>
  <c r="H10" i="12"/>
  <c r="H5" i="12"/>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2" i="9"/>
  <c r="H3" i="9"/>
  <c r="J3" i="9" s="1"/>
  <c r="H4" i="9"/>
  <c r="J4" i="9" s="1"/>
  <c r="H5" i="9"/>
  <c r="J5" i="9" s="1"/>
  <c r="H6" i="9"/>
  <c r="J6" i="9" s="1"/>
  <c r="H7" i="9"/>
  <c r="J7" i="9" s="1"/>
  <c r="H8" i="9"/>
  <c r="J8" i="9" s="1"/>
  <c r="H9" i="9"/>
  <c r="J9" i="9" s="1"/>
  <c r="H10" i="9"/>
  <c r="J10" i="9" s="1"/>
  <c r="H11" i="9"/>
  <c r="J11" i="9" s="1"/>
  <c r="H12" i="9"/>
  <c r="J12" i="9" s="1"/>
  <c r="H13" i="9"/>
  <c r="J13" i="9" s="1"/>
  <c r="H14" i="9"/>
  <c r="J14" i="9" s="1"/>
  <c r="H15" i="9"/>
  <c r="J15" i="9" s="1"/>
  <c r="H16" i="9"/>
  <c r="J16" i="9" s="1"/>
  <c r="H17" i="9"/>
  <c r="J17" i="9" s="1"/>
  <c r="H18" i="9"/>
  <c r="J18" i="9" s="1"/>
  <c r="H19" i="9"/>
  <c r="J19" i="9" s="1"/>
  <c r="H20" i="9"/>
  <c r="J20" i="9" s="1"/>
  <c r="H21" i="9"/>
  <c r="J21" i="9" s="1"/>
  <c r="H22" i="9"/>
  <c r="J22" i="9" s="1"/>
  <c r="H23" i="9"/>
  <c r="J23" i="9" s="1"/>
  <c r="H24" i="9"/>
  <c r="J24" i="9" s="1"/>
  <c r="H25" i="9"/>
  <c r="J25" i="9" s="1"/>
  <c r="H26" i="9"/>
  <c r="J26" i="9" s="1"/>
  <c r="H27" i="9"/>
  <c r="J27" i="9" s="1"/>
  <c r="H28" i="9"/>
  <c r="J28" i="9" s="1"/>
  <c r="H29" i="9"/>
  <c r="J29" i="9" s="1"/>
  <c r="H30" i="9"/>
  <c r="J30" i="9" s="1"/>
  <c r="H31" i="9"/>
  <c r="J31" i="9" s="1"/>
  <c r="H32" i="9"/>
  <c r="J32" i="9" s="1"/>
  <c r="H33" i="9"/>
  <c r="J33" i="9" s="1"/>
  <c r="H34" i="9"/>
  <c r="J34" i="9" s="1"/>
  <c r="H35" i="9"/>
  <c r="J35" i="9" s="1"/>
  <c r="H36" i="9"/>
  <c r="J36" i="9" s="1"/>
  <c r="H37" i="9"/>
  <c r="J37" i="9" s="1"/>
  <c r="H38" i="9"/>
  <c r="J38" i="9" s="1"/>
  <c r="H39" i="9"/>
  <c r="J39" i="9" s="1"/>
  <c r="H40" i="9"/>
  <c r="J40" i="9" s="1"/>
  <c r="H41" i="9"/>
  <c r="J41" i="9" s="1"/>
  <c r="H42" i="9"/>
  <c r="J42" i="9" s="1"/>
  <c r="H43" i="9"/>
  <c r="J43" i="9" s="1"/>
  <c r="H44" i="9"/>
  <c r="J44" i="9" s="1"/>
  <c r="H45" i="9"/>
  <c r="J45" i="9" s="1"/>
  <c r="H46" i="9"/>
  <c r="J46" i="9" s="1"/>
  <c r="H47" i="9"/>
  <c r="J47" i="9" s="1"/>
  <c r="H48" i="9"/>
  <c r="J48" i="9" s="1"/>
  <c r="H49" i="9"/>
  <c r="J49" i="9" s="1"/>
  <c r="H50" i="9"/>
  <c r="J50" i="9" s="1"/>
  <c r="H51" i="9"/>
  <c r="J51" i="9" s="1"/>
  <c r="H52" i="9"/>
  <c r="J52" i="9" s="1"/>
  <c r="H53" i="9"/>
  <c r="J53" i="9" s="1"/>
  <c r="H54" i="9"/>
  <c r="J54" i="9" s="1"/>
  <c r="H55" i="9"/>
  <c r="J55" i="9" s="1"/>
  <c r="H56" i="9"/>
  <c r="J56" i="9" s="1"/>
  <c r="H57" i="9"/>
  <c r="J57" i="9" s="1"/>
  <c r="H58" i="9"/>
  <c r="J58" i="9" s="1"/>
  <c r="H59" i="9"/>
  <c r="J59" i="9" s="1"/>
  <c r="H60" i="9"/>
  <c r="J60" i="9" s="1"/>
  <c r="H61" i="9"/>
  <c r="J61" i="9" s="1"/>
  <c r="H62" i="9"/>
  <c r="J62" i="9" s="1"/>
  <c r="H63" i="9"/>
  <c r="J63" i="9" s="1"/>
  <c r="H64" i="9"/>
  <c r="J64" i="9" s="1"/>
  <c r="H65" i="9"/>
  <c r="J65" i="9" s="1"/>
  <c r="H66" i="9"/>
  <c r="J66" i="9" s="1"/>
  <c r="H67" i="9"/>
  <c r="J67" i="9" s="1"/>
  <c r="H68" i="9"/>
  <c r="J68" i="9" s="1"/>
  <c r="H69" i="9"/>
  <c r="J69" i="9" s="1"/>
  <c r="H70" i="9"/>
  <c r="J70" i="9" s="1"/>
  <c r="H71" i="9"/>
  <c r="J71" i="9" s="1"/>
  <c r="H72" i="9"/>
  <c r="J72" i="9" s="1"/>
  <c r="H73" i="9"/>
  <c r="J73" i="9" s="1"/>
  <c r="H74" i="9"/>
  <c r="J74" i="9" s="1"/>
  <c r="H75" i="9"/>
  <c r="J75" i="9" s="1"/>
  <c r="H76" i="9"/>
  <c r="J76" i="9" s="1"/>
  <c r="H77" i="9"/>
  <c r="J77" i="9" s="1"/>
  <c r="H78" i="9"/>
  <c r="J78" i="9" s="1"/>
  <c r="H79" i="9"/>
  <c r="J79" i="9" s="1"/>
  <c r="H80" i="9"/>
  <c r="J80" i="9" s="1"/>
  <c r="H81" i="9"/>
  <c r="J81" i="9" s="1"/>
  <c r="H82" i="9"/>
  <c r="J82" i="9" s="1"/>
  <c r="H83" i="9"/>
  <c r="J83" i="9" s="1"/>
  <c r="H84" i="9"/>
  <c r="J84" i="9" s="1"/>
  <c r="H85" i="9"/>
  <c r="J85" i="9" s="1"/>
  <c r="H86" i="9"/>
  <c r="J86" i="9" s="1"/>
  <c r="H87" i="9"/>
  <c r="J87" i="9" s="1"/>
  <c r="H88" i="9"/>
  <c r="J88" i="9" s="1"/>
  <c r="H89" i="9"/>
  <c r="J89" i="9" s="1"/>
  <c r="H90" i="9"/>
  <c r="J90" i="9" s="1"/>
  <c r="H91" i="9"/>
  <c r="J91" i="9" s="1"/>
  <c r="H92" i="9"/>
  <c r="J92" i="9" s="1"/>
  <c r="H93" i="9"/>
  <c r="J93" i="9" s="1"/>
  <c r="H94" i="9"/>
  <c r="J94" i="9" s="1"/>
  <c r="H95" i="9"/>
  <c r="J95" i="9" s="1"/>
  <c r="H96" i="9"/>
  <c r="J96" i="9" s="1"/>
  <c r="H97" i="9"/>
  <c r="J97" i="9" s="1"/>
  <c r="H98" i="9"/>
  <c r="J98" i="9" s="1"/>
  <c r="H99" i="9"/>
  <c r="J99" i="9" s="1"/>
  <c r="H100" i="9"/>
  <c r="J100" i="9" s="1"/>
  <c r="H101" i="9"/>
  <c r="J101" i="9" s="1"/>
  <c r="H102" i="9"/>
  <c r="J102" i="9" s="1"/>
  <c r="H103" i="9"/>
  <c r="J103" i="9" s="1"/>
  <c r="H104" i="9"/>
  <c r="J104" i="9" s="1"/>
  <c r="H105" i="9"/>
  <c r="J105" i="9" s="1"/>
  <c r="H106" i="9"/>
  <c r="J106" i="9" s="1"/>
  <c r="H107" i="9"/>
  <c r="J107" i="9" s="1"/>
  <c r="H108" i="9"/>
  <c r="J108" i="9" s="1"/>
  <c r="H109" i="9"/>
  <c r="J109" i="9" s="1"/>
  <c r="H110" i="9"/>
  <c r="J110" i="9" s="1"/>
  <c r="H111" i="9"/>
  <c r="J111" i="9" s="1"/>
  <c r="H112" i="9"/>
  <c r="J112" i="9" s="1"/>
  <c r="H113" i="9"/>
  <c r="J113" i="9" s="1"/>
  <c r="H114" i="9"/>
  <c r="J114" i="9" s="1"/>
  <c r="H115" i="9"/>
  <c r="J115" i="9" s="1"/>
  <c r="H116" i="9"/>
  <c r="J116" i="9" s="1"/>
  <c r="H117" i="9"/>
  <c r="J117" i="9" s="1"/>
  <c r="H118" i="9"/>
  <c r="J118" i="9" s="1"/>
  <c r="H119" i="9"/>
  <c r="J119" i="9" s="1"/>
  <c r="H120" i="9"/>
  <c r="J120" i="9" s="1"/>
  <c r="H121" i="9"/>
  <c r="J121" i="9" s="1"/>
  <c r="H122" i="9"/>
  <c r="J122" i="9" s="1"/>
  <c r="H123" i="9"/>
  <c r="J123" i="9" s="1"/>
  <c r="H124" i="9"/>
  <c r="J124" i="9" s="1"/>
  <c r="H125" i="9"/>
  <c r="J125" i="9" s="1"/>
  <c r="H126" i="9"/>
  <c r="J126" i="9" s="1"/>
  <c r="H127" i="9"/>
  <c r="J127" i="9" s="1"/>
  <c r="H128" i="9"/>
  <c r="J128" i="9" s="1"/>
  <c r="H129" i="9"/>
  <c r="J129" i="9" s="1"/>
  <c r="H130" i="9"/>
  <c r="J130" i="9" s="1"/>
  <c r="H131" i="9"/>
  <c r="J131" i="9" s="1"/>
  <c r="H132" i="9"/>
  <c r="J132" i="9" s="1"/>
  <c r="H133" i="9"/>
  <c r="J133" i="9" s="1"/>
  <c r="H134" i="9"/>
  <c r="J134" i="9" s="1"/>
  <c r="H135" i="9"/>
  <c r="J135" i="9" s="1"/>
  <c r="H136" i="9"/>
  <c r="J136" i="9" s="1"/>
  <c r="H137" i="9"/>
  <c r="J137" i="9" s="1"/>
  <c r="H138" i="9"/>
  <c r="J138" i="9" s="1"/>
  <c r="H139" i="9"/>
  <c r="J139" i="9" s="1"/>
  <c r="H140" i="9"/>
  <c r="J140" i="9" s="1"/>
  <c r="H141" i="9"/>
  <c r="J141" i="9" s="1"/>
  <c r="H142" i="9"/>
  <c r="J142" i="9" s="1"/>
  <c r="H143" i="9"/>
  <c r="J143" i="9" s="1"/>
  <c r="H144" i="9"/>
  <c r="J144" i="9" s="1"/>
  <c r="H145" i="9"/>
  <c r="J145" i="9" s="1"/>
  <c r="H146" i="9"/>
  <c r="J146" i="9" s="1"/>
  <c r="H147" i="9"/>
  <c r="J147" i="9" s="1"/>
  <c r="H148" i="9"/>
  <c r="J148" i="9" s="1"/>
  <c r="H149" i="9"/>
  <c r="J149" i="9" s="1"/>
  <c r="H150" i="9"/>
  <c r="J150" i="9" s="1"/>
  <c r="H151" i="9"/>
  <c r="J151" i="9" s="1"/>
  <c r="H152" i="9"/>
  <c r="J152" i="9" s="1"/>
  <c r="H153" i="9"/>
  <c r="J153" i="9" s="1"/>
  <c r="H154" i="9"/>
  <c r="J154" i="9" s="1"/>
  <c r="H155" i="9"/>
  <c r="J155" i="9" s="1"/>
  <c r="H156" i="9"/>
  <c r="J156" i="9" s="1"/>
  <c r="H157" i="9"/>
  <c r="J157" i="9" s="1"/>
  <c r="H158" i="9"/>
  <c r="J158" i="9" s="1"/>
  <c r="H159" i="9"/>
  <c r="J159" i="9" s="1"/>
  <c r="H160" i="9"/>
  <c r="J160" i="9" s="1"/>
  <c r="H161" i="9"/>
  <c r="J161" i="9" s="1"/>
  <c r="H162" i="9"/>
  <c r="J162" i="9" s="1"/>
  <c r="H163" i="9"/>
  <c r="J163" i="9" s="1"/>
  <c r="H164" i="9"/>
  <c r="J164" i="9" s="1"/>
  <c r="H165" i="9"/>
  <c r="J165" i="9" s="1"/>
  <c r="H166" i="9"/>
  <c r="J166" i="9" s="1"/>
  <c r="H167" i="9"/>
  <c r="J167" i="9" s="1"/>
  <c r="H168" i="9"/>
  <c r="J168" i="9" s="1"/>
  <c r="H169" i="9"/>
  <c r="J169" i="9" s="1"/>
  <c r="H170" i="9"/>
  <c r="J170" i="9" s="1"/>
  <c r="H171" i="9"/>
  <c r="J171" i="9" s="1"/>
  <c r="H172" i="9"/>
  <c r="J172" i="9" s="1"/>
  <c r="H173" i="9"/>
  <c r="J173" i="9" s="1"/>
  <c r="H174" i="9"/>
  <c r="J174" i="9" s="1"/>
  <c r="H175" i="9"/>
  <c r="J175" i="9" s="1"/>
  <c r="H176" i="9"/>
  <c r="J176" i="9" s="1"/>
  <c r="H177" i="9"/>
  <c r="J177" i="9" s="1"/>
  <c r="H178" i="9"/>
  <c r="J178" i="9" s="1"/>
  <c r="H179" i="9"/>
  <c r="J179" i="9" s="1"/>
  <c r="H180" i="9"/>
  <c r="J180" i="9" s="1"/>
  <c r="H181" i="9"/>
  <c r="J181" i="9" s="1"/>
  <c r="H182" i="9"/>
  <c r="J182" i="9" s="1"/>
  <c r="H183" i="9"/>
  <c r="J183" i="9" s="1"/>
  <c r="H184" i="9"/>
  <c r="J184" i="9" s="1"/>
  <c r="H185" i="9"/>
  <c r="J185" i="9" s="1"/>
  <c r="H186" i="9"/>
  <c r="J186" i="9" s="1"/>
  <c r="H187" i="9"/>
  <c r="J187" i="9" s="1"/>
  <c r="H188" i="9"/>
  <c r="J188" i="9" s="1"/>
  <c r="H189" i="9"/>
  <c r="J189" i="9" s="1"/>
  <c r="H190" i="9"/>
  <c r="J190" i="9" s="1"/>
  <c r="H191" i="9"/>
  <c r="J191" i="9" s="1"/>
  <c r="H192" i="9"/>
  <c r="J192" i="9" s="1"/>
  <c r="H193" i="9"/>
  <c r="J193" i="9" s="1"/>
  <c r="H194" i="9"/>
  <c r="J194" i="9" s="1"/>
  <c r="H195" i="9"/>
  <c r="J195" i="9" s="1"/>
  <c r="H196" i="9"/>
  <c r="J196" i="9" s="1"/>
  <c r="H197" i="9"/>
  <c r="J197" i="9" s="1"/>
  <c r="H198" i="9"/>
  <c r="J198" i="9" s="1"/>
  <c r="H199" i="9"/>
  <c r="J199" i="9" s="1"/>
  <c r="H200" i="9"/>
  <c r="J200" i="9" s="1"/>
  <c r="H201" i="9"/>
  <c r="J201" i="9" s="1"/>
  <c r="H202" i="9"/>
  <c r="J202" i="9" s="1"/>
  <c r="H203" i="9"/>
  <c r="J203" i="9" s="1"/>
  <c r="H204" i="9"/>
  <c r="J204" i="9" s="1"/>
  <c r="H205" i="9"/>
  <c r="J205" i="9" s="1"/>
  <c r="H206" i="9"/>
  <c r="J206" i="9" s="1"/>
  <c r="H207" i="9"/>
  <c r="J207" i="9" s="1"/>
  <c r="H208" i="9"/>
  <c r="J208" i="9" s="1"/>
  <c r="H209" i="9"/>
  <c r="J209" i="9" s="1"/>
  <c r="H210" i="9"/>
  <c r="J210" i="9" s="1"/>
  <c r="H211" i="9"/>
  <c r="J211" i="9" s="1"/>
  <c r="H212" i="9"/>
  <c r="J212" i="9" s="1"/>
  <c r="H213" i="9"/>
  <c r="J213" i="9" s="1"/>
  <c r="H214" i="9"/>
  <c r="J214" i="9" s="1"/>
  <c r="H215" i="9"/>
  <c r="J215" i="9" s="1"/>
  <c r="H216" i="9"/>
  <c r="J216" i="9" s="1"/>
  <c r="H217" i="9"/>
  <c r="J217" i="9" s="1"/>
  <c r="H218" i="9"/>
  <c r="J218" i="9" s="1"/>
  <c r="H219" i="9"/>
  <c r="J219" i="9" s="1"/>
  <c r="H220" i="9"/>
  <c r="J220" i="9" s="1"/>
  <c r="H221" i="9"/>
  <c r="J221" i="9" s="1"/>
  <c r="H222" i="9"/>
  <c r="J222" i="9" s="1"/>
  <c r="H223" i="9"/>
  <c r="J223" i="9" s="1"/>
  <c r="H224" i="9"/>
  <c r="J224" i="9" s="1"/>
  <c r="H225" i="9"/>
  <c r="J225" i="9" s="1"/>
  <c r="H226" i="9"/>
  <c r="J226" i="9" s="1"/>
  <c r="H227" i="9"/>
  <c r="J227" i="9" s="1"/>
  <c r="H228" i="9"/>
  <c r="J228" i="9" s="1"/>
  <c r="H229" i="9"/>
  <c r="J229" i="9" s="1"/>
  <c r="H230" i="9"/>
  <c r="J230" i="9" s="1"/>
  <c r="H231" i="9"/>
  <c r="J231" i="9" s="1"/>
  <c r="H232" i="9"/>
  <c r="J232" i="9" s="1"/>
  <c r="H233" i="9"/>
  <c r="J233" i="9" s="1"/>
  <c r="H234" i="9"/>
  <c r="J234" i="9" s="1"/>
  <c r="H235" i="9"/>
  <c r="J235" i="9" s="1"/>
  <c r="H236" i="9"/>
  <c r="J236" i="9" s="1"/>
  <c r="H237" i="9"/>
  <c r="J237" i="9" s="1"/>
  <c r="H238" i="9"/>
  <c r="J238" i="9" s="1"/>
  <c r="H239" i="9"/>
  <c r="J239" i="9" s="1"/>
  <c r="H240" i="9"/>
  <c r="J240" i="9" s="1"/>
  <c r="H241" i="9"/>
  <c r="J241" i="9" s="1"/>
  <c r="H242" i="9"/>
  <c r="J242" i="9" s="1"/>
  <c r="H243" i="9"/>
  <c r="J243" i="9" s="1"/>
  <c r="H244" i="9"/>
  <c r="J244" i="9" s="1"/>
  <c r="H245" i="9"/>
  <c r="J245" i="9" s="1"/>
  <c r="H246" i="9"/>
  <c r="J246" i="9" s="1"/>
  <c r="H247" i="9"/>
  <c r="J247" i="9" s="1"/>
  <c r="H248" i="9"/>
  <c r="J248" i="9" s="1"/>
  <c r="H249" i="9"/>
  <c r="J249" i="9" s="1"/>
  <c r="H250" i="9"/>
  <c r="J250" i="9" s="1"/>
  <c r="H251" i="9"/>
  <c r="J251" i="9" s="1"/>
  <c r="H252" i="9"/>
  <c r="J252" i="9" s="1"/>
  <c r="H253" i="9"/>
  <c r="J253" i="9" s="1"/>
  <c r="H254" i="9"/>
  <c r="J254" i="9" s="1"/>
  <c r="H255" i="9"/>
  <c r="J255" i="9" s="1"/>
  <c r="H256" i="9"/>
  <c r="J256" i="9" s="1"/>
  <c r="H257" i="9"/>
  <c r="J257" i="9" s="1"/>
  <c r="H258" i="9"/>
  <c r="J258" i="9" s="1"/>
  <c r="H259" i="9"/>
  <c r="J259" i="9" s="1"/>
  <c r="H260" i="9"/>
  <c r="J260" i="9" s="1"/>
  <c r="H261" i="9"/>
  <c r="J261" i="9" s="1"/>
  <c r="H262" i="9"/>
  <c r="J262" i="9" s="1"/>
  <c r="H263" i="9"/>
  <c r="J263" i="9" s="1"/>
  <c r="H264" i="9"/>
  <c r="J264" i="9" s="1"/>
  <c r="H265" i="9"/>
  <c r="J265" i="9" s="1"/>
  <c r="H266" i="9"/>
  <c r="J266" i="9" s="1"/>
  <c r="H267" i="9"/>
  <c r="J267" i="9" s="1"/>
  <c r="H268" i="9"/>
  <c r="J268" i="9" s="1"/>
  <c r="H269" i="9"/>
  <c r="J269" i="9" s="1"/>
  <c r="H270" i="9"/>
  <c r="J270" i="9" s="1"/>
  <c r="H271" i="9"/>
  <c r="J271" i="9" s="1"/>
  <c r="H272" i="9"/>
  <c r="J272" i="9" s="1"/>
  <c r="H273" i="9"/>
  <c r="J273" i="9" s="1"/>
  <c r="H274" i="9"/>
  <c r="H275" i="9"/>
  <c r="J275" i="9" s="1"/>
  <c r="H276" i="9"/>
  <c r="J276" i="9" s="1"/>
  <c r="H277" i="9"/>
  <c r="J277" i="9" s="1"/>
  <c r="H278" i="9"/>
  <c r="H279" i="9"/>
  <c r="J279" i="9" s="1"/>
  <c r="H280" i="9"/>
  <c r="J280" i="9" s="1"/>
  <c r="H281" i="9"/>
  <c r="J281" i="9" s="1"/>
  <c r="H282" i="9"/>
  <c r="J282" i="9" s="1"/>
  <c r="H283" i="9"/>
  <c r="J283" i="9" s="1"/>
  <c r="H284" i="9"/>
  <c r="J284" i="9" s="1"/>
  <c r="H285" i="9"/>
  <c r="J285" i="9" s="1"/>
  <c r="H286" i="9"/>
  <c r="J286" i="9" s="1"/>
  <c r="H287" i="9"/>
  <c r="J287" i="9" s="1"/>
  <c r="H288" i="9"/>
  <c r="J288" i="9" s="1"/>
  <c r="H289" i="9"/>
  <c r="J289" i="9" s="1"/>
  <c r="H290" i="9"/>
  <c r="J290" i="9" s="1"/>
  <c r="H291" i="9"/>
  <c r="J291" i="9" s="1"/>
  <c r="H292" i="9"/>
  <c r="J292" i="9" s="1"/>
  <c r="H293" i="9"/>
  <c r="J293" i="9" s="1"/>
  <c r="H294" i="9"/>
  <c r="J294" i="9" s="1"/>
  <c r="H295" i="9"/>
  <c r="J295" i="9" s="1"/>
  <c r="H296" i="9"/>
  <c r="J296" i="9" s="1"/>
  <c r="H297" i="9"/>
  <c r="J297" i="9" s="1"/>
  <c r="H298" i="9"/>
  <c r="J298" i="9" s="1"/>
  <c r="H299" i="9"/>
  <c r="J299" i="9" s="1"/>
  <c r="H300" i="9"/>
  <c r="J300" i="9" s="1"/>
  <c r="H301" i="9"/>
  <c r="J301" i="9" s="1"/>
  <c r="H302" i="9"/>
  <c r="J302" i="9" s="1"/>
  <c r="H303" i="9"/>
  <c r="J303" i="9" s="1"/>
  <c r="H304" i="9"/>
  <c r="J304" i="9" s="1"/>
  <c r="H305" i="9"/>
  <c r="J305" i="9" s="1"/>
  <c r="H306" i="9"/>
  <c r="J306" i="9" s="1"/>
  <c r="H307" i="9"/>
  <c r="J307" i="9" s="1"/>
  <c r="H308" i="9"/>
  <c r="J308" i="9" s="1"/>
  <c r="H309" i="9"/>
  <c r="J309" i="9" s="1"/>
  <c r="H310" i="9"/>
  <c r="J310" i="9" s="1"/>
  <c r="H311" i="9"/>
  <c r="J311" i="9" s="1"/>
  <c r="H312" i="9"/>
  <c r="J312" i="9" s="1"/>
  <c r="H313" i="9"/>
  <c r="J313" i="9" s="1"/>
  <c r="H314" i="9"/>
  <c r="J314" i="9" s="1"/>
  <c r="H315" i="9"/>
  <c r="J315" i="9" s="1"/>
  <c r="H316" i="9"/>
  <c r="J316" i="9" s="1"/>
  <c r="H317" i="9"/>
  <c r="J317" i="9" s="1"/>
  <c r="H318" i="9"/>
  <c r="J318" i="9" s="1"/>
  <c r="H319" i="9"/>
  <c r="J319" i="9" s="1"/>
  <c r="H320" i="9"/>
  <c r="J320" i="9" s="1"/>
  <c r="H321" i="9"/>
  <c r="J321" i="9" s="1"/>
  <c r="H322" i="9"/>
  <c r="J322" i="9" s="1"/>
  <c r="H323" i="9"/>
  <c r="J323" i="9" s="1"/>
  <c r="H324" i="9"/>
  <c r="J324" i="9" s="1"/>
  <c r="H325" i="9"/>
  <c r="J325" i="9" s="1"/>
  <c r="H326" i="9"/>
  <c r="J326" i="9" s="1"/>
  <c r="H327" i="9"/>
  <c r="J327" i="9" s="1"/>
  <c r="H328" i="9"/>
  <c r="J328" i="9" s="1"/>
  <c r="H329" i="9"/>
  <c r="J329" i="9" s="1"/>
  <c r="H330" i="9"/>
  <c r="J330" i="9" s="1"/>
  <c r="H331" i="9"/>
  <c r="J331" i="9" s="1"/>
  <c r="H332" i="9"/>
  <c r="J332" i="9" s="1"/>
  <c r="H333" i="9"/>
  <c r="J333" i="9" s="1"/>
  <c r="H334" i="9"/>
  <c r="J334" i="9" s="1"/>
  <c r="H335" i="9"/>
  <c r="J335" i="9" s="1"/>
  <c r="H336" i="9"/>
  <c r="J336" i="9" s="1"/>
  <c r="H337" i="9"/>
  <c r="J337" i="9" s="1"/>
  <c r="H338" i="9"/>
  <c r="J338" i="9" s="1"/>
  <c r="H339" i="9"/>
  <c r="J339" i="9" s="1"/>
  <c r="H340" i="9"/>
  <c r="J340" i="9" s="1"/>
  <c r="H341" i="9"/>
  <c r="J341" i="9" s="1"/>
  <c r="H342" i="9"/>
  <c r="J342" i="9" s="1"/>
  <c r="H343" i="9"/>
  <c r="J343" i="9" s="1"/>
  <c r="H344" i="9"/>
  <c r="J344" i="9" s="1"/>
  <c r="H345" i="9"/>
  <c r="J345" i="9" s="1"/>
  <c r="H346" i="9"/>
  <c r="J346" i="9" s="1"/>
  <c r="H347" i="9"/>
  <c r="J347" i="9" s="1"/>
  <c r="H348" i="9"/>
  <c r="J348" i="9" s="1"/>
  <c r="H349" i="9"/>
  <c r="J349" i="9" s="1"/>
  <c r="H350" i="9"/>
  <c r="J350" i="9" s="1"/>
  <c r="H351" i="9"/>
  <c r="J351" i="9" s="1"/>
  <c r="H352" i="9"/>
  <c r="J352" i="9" s="1"/>
  <c r="H353" i="9"/>
  <c r="J353" i="9" s="1"/>
  <c r="H354" i="9"/>
  <c r="J354" i="9" s="1"/>
  <c r="H355" i="9"/>
  <c r="J355" i="9" s="1"/>
  <c r="H356" i="9"/>
  <c r="J356" i="9" s="1"/>
  <c r="H357" i="9"/>
  <c r="J357" i="9" s="1"/>
  <c r="H358" i="9"/>
  <c r="J358" i="9" s="1"/>
  <c r="H359" i="9"/>
  <c r="J359" i="9" s="1"/>
  <c r="H360" i="9"/>
  <c r="J360" i="9" s="1"/>
  <c r="H361" i="9"/>
  <c r="J361" i="9" s="1"/>
  <c r="H362" i="9"/>
  <c r="J362" i="9" s="1"/>
  <c r="H363" i="9"/>
  <c r="J363" i="9" s="1"/>
  <c r="H364" i="9"/>
  <c r="J364" i="9" s="1"/>
  <c r="H365" i="9"/>
  <c r="J365" i="9" s="1"/>
  <c r="H366" i="9"/>
  <c r="J366" i="9" s="1"/>
  <c r="H367" i="9"/>
  <c r="J367" i="9" s="1"/>
  <c r="H368" i="9"/>
  <c r="J368" i="9" s="1"/>
  <c r="H369" i="9"/>
  <c r="J369" i="9" s="1"/>
  <c r="H370" i="9"/>
  <c r="J370" i="9" s="1"/>
  <c r="H371" i="9"/>
  <c r="J371" i="9" s="1"/>
  <c r="H372" i="9"/>
  <c r="J372" i="9" s="1"/>
  <c r="H373" i="9"/>
  <c r="J373" i="9" s="1"/>
  <c r="H374" i="9"/>
  <c r="J374" i="9" s="1"/>
  <c r="H375" i="9"/>
  <c r="J375" i="9" s="1"/>
  <c r="H376" i="9"/>
  <c r="J376" i="9" s="1"/>
  <c r="H377" i="9"/>
  <c r="J377" i="9" s="1"/>
  <c r="H378" i="9"/>
  <c r="J378" i="9" s="1"/>
  <c r="H379" i="9"/>
  <c r="J379" i="9" s="1"/>
  <c r="H380" i="9"/>
  <c r="J380" i="9" s="1"/>
  <c r="H381" i="9"/>
  <c r="J381" i="9" s="1"/>
  <c r="H382" i="9"/>
  <c r="J382" i="9" s="1"/>
  <c r="H383" i="9"/>
  <c r="J383" i="9" s="1"/>
  <c r="H384" i="9"/>
  <c r="J384" i="9" s="1"/>
  <c r="H385" i="9"/>
  <c r="J385" i="9" s="1"/>
  <c r="H386" i="9"/>
  <c r="J386" i="9" s="1"/>
  <c r="H387" i="9"/>
  <c r="J387" i="9" s="1"/>
  <c r="H388" i="9"/>
  <c r="J388" i="9" s="1"/>
  <c r="H389" i="9"/>
  <c r="J389" i="9" s="1"/>
  <c r="H390" i="9"/>
  <c r="J390" i="9" s="1"/>
  <c r="H391" i="9"/>
  <c r="J391" i="9" s="1"/>
  <c r="H392" i="9"/>
  <c r="J392" i="9" s="1"/>
  <c r="H393" i="9"/>
  <c r="J393" i="9" s="1"/>
  <c r="H394" i="9"/>
  <c r="J394" i="9" s="1"/>
  <c r="H395" i="9"/>
  <c r="J395" i="9" s="1"/>
  <c r="H396" i="9"/>
  <c r="J396" i="9" s="1"/>
  <c r="H397" i="9"/>
  <c r="J397" i="9" s="1"/>
  <c r="H398" i="9"/>
  <c r="J398" i="9" s="1"/>
  <c r="H399" i="9"/>
  <c r="J399" i="9" s="1"/>
  <c r="H400" i="9"/>
  <c r="J400" i="9" s="1"/>
  <c r="H401" i="9"/>
  <c r="J401" i="9" s="1"/>
  <c r="H402" i="9"/>
  <c r="J402" i="9" s="1"/>
  <c r="H403" i="9"/>
  <c r="J403" i="9" s="1"/>
  <c r="H404" i="9"/>
  <c r="J404" i="9" s="1"/>
  <c r="H405" i="9"/>
  <c r="J405" i="9" s="1"/>
  <c r="H406" i="9"/>
  <c r="J406" i="9" s="1"/>
  <c r="H407" i="9"/>
  <c r="J407" i="9" s="1"/>
  <c r="H408" i="9"/>
  <c r="J408" i="9" s="1"/>
  <c r="H409" i="9"/>
  <c r="J409" i="9" s="1"/>
  <c r="H410" i="9"/>
  <c r="J410" i="9" s="1"/>
  <c r="H411" i="9"/>
  <c r="J411" i="9" s="1"/>
  <c r="H412" i="9"/>
  <c r="J412" i="9" s="1"/>
  <c r="H413" i="9"/>
  <c r="J413" i="9" s="1"/>
  <c r="H414" i="9"/>
  <c r="J414" i="9" s="1"/>
  <c r="H415" i="9"/>
  <c r="J415" i="9" s="1"/>
  <c r="H416" i="9"/>
  <c r="J416" i="9" s="1"/>
  <c r="H417" i="9"/>
  <c r="J417" i="9" s="1"/>
  <c r="H418" i="9"/>
  <c r="J418" i="9" s="1"/>
  <c r="H419" i="9"/>
  <c r="J419" i="9" s="1"/>
  <c r="H420" i="9"/>
  <c r="J420" i="9" s="1"/>
  <c r="H421" i="9"/>
  <c r="J421" i="9" s="1"/>
  <c r="H422" i="9"/>
  <c r="J422" i="9" s="1"/>
  <c r="H423" i="9"/>
  <c r="J423" i="9" s="1"/>
  <c r="H424" i="9"/>
  <c r="J424" i="9" s="1"/>
  <c r="H425" i="9"/>
  <c r="J425" i="9" s="1"/>
  <c r="H426" i="9"/>
  <c r="J426" i="9" s="1"/>
  <c r="H427" i="9"/>
  <c r="J427" i="9" s="1"/>
  <c r="H428" i="9"/>
  <c r="J428" i="9" s="1"/>
  <c r="H429" i="9"/>
  <c r="J429" i="9" s="1"/>
  <c r="H430" i="9"/>
  <c r="J430" i="9" s="1"/>
  <c r="H431" i="9"/>
  <c r="J431" i="9" s="1"/>
  <c r="H432" i="9"/>
  <c r="J432" i="9" s="1"/>
  <c r="H433" i="9"/>
  <c r="J433" i="9" s="1"/>
  <c r="H434" i="9"/>
  <c r="J434" i="9" s="1"/>
  <c r="H435" i="9"/>
  <c r="J435" i="9" s="1"/>
  <c r="H436" i="9"/>
  <c r="J436" i="9" s="1"/>
  <c r="H437" i="9"/>
  <c r="J437" i="9" s="1"/>
  <c r="H438" i="9"/>
  <c r="J438" i="9" s="1"/>
  <c r="H439" i="9"/>
  <c r="J439" i="9" s="1"/>
  <c r="H440" i="9"/>
  <c r="J440" i="9" s="1"/>
  <c r="H441" i="9"/>
  <c r="J441" i="9" s="1"/>
  <c r="H442" i="9"/>
  <c r="J442" i="9" s="1"/>
  <c r="H443" i="9"/>
  <c r="J443" i="9" s="1"/>
  <c r="H444" i="9"/>
  <c r="J444" i="9" s="1"/>
  <c r="H445" i="9"/>
  <c r="J445" i="9" s="1"/>
  <c r="H446" i="9"/>
  <c r="J446" i="9" s="1"/>
  <c r="H447" i="9"/>
  <c r="J447" i="9" s="1"/>
  <c r="H448" i="9"/>
  <c r="J448" i="9" s="1"/>
  <c r="H449" i="9"/>
  <c r="J449" i="9" s="1"/>
  <c r="H450" i="9"/>
  <c r="J450" i="9" s="1"/>
  <c r="H451" i="9"/>
  <c r="J451" i="9" s="1"/>
  <c r="H452" i="9"/>
  <c r="J452" i="9" s="1"/>
  <c r="H453" i="9"/>
  <c r="J453" i="9" s="1"/>
  <c r="H454" i="9"/>
  <c r="J454" i="9" s="1"/>
  <c r="H455" i="9"/>
  <c r="J455" i="9" s="1"/>
  <c r="H456" i="9"/>
  <c r="J456" i="9" s="1"/>
  <c r="H457" i="9"/>
  <c r="J457" i="9" s="1"/>
  <c r="H458" i="9"/>
  <c r="J458" i="9" s="1"/>
  <c r="H459" i="9"/>
  <c r="J459" i="9" s="1"/>
  <c r="H460" i="9"/>
  <c r="J460" i="9" s="1"/>
  <c r="H461" i="9"/>
  <c r="J461" i="9" s="1"/>
  <c r="H462" i="9"/>
  <c r="J462" i="9" s="1"/>
  <c r="H463" i="9"/>
  <c r="J463" i="9" s="1"/>
  <c r="H464" i="9"/>
  <c r="J464" i="9" s="1"/>
  <c r="H465" i="9"/>
  <c r="J465" i="9" s="1"/>
  <c r="H466" i="9"/>
  <c r="J466" i="9" s="1"/>
  <c r="H467" i="9"/>
  <c r="J467" i="9" s="1"/>
  <c r="H468" i="9"/>
  <c r="J468" i="9" s="1"/>
  <c r="H469" i="9"/>
  <c r="J469" i="9" s="1"/>
  <c r="H470" i="9"/>
  <c r="J470" i="9" s="1"/>
  <c r="H471" i="9"/>
  <c r="J471" i="9" s="1"/>
  <c r="H472" i="9"/>
  <c r="J472" i="9" s="1"/>
  <c r="H473" i="9"/>
  <c r="J473" i="9" s="1"/>
  <c r="H474" i="9"/>
  <c r="J474" i="9" s="1"/>
  <c r="H475" i="9"/>
  <c r="J475" i="9" s="1"/>
  <c r="H476" i="9"/>
  <c r="J476" i="9" s="1"/>
  <c r="H477" i="9"/>
  <c r="J477" i="9" s="1"/>
  <c r="H478" i="9"/>
  <c r="J478" i="9" s="1"/>
  <c r="H479" i="9"/>
  <c r="J479" i="9" s="1"/>
  <c r="H480" i="9"/>
  <c r="J480" i="9" s="1"/>
  <c r="H481" i="9"/>
  <c r="J481" i="9" s="1"/>
  <c r="H482" i="9"/>
  <c r="J482" i="9" s="1"/>
  <c r="H483" i="9"/>
  <c r="J483" i="9" s="1"/>
  <c r="H484" i="9"/>
  <c r="J484" i="9" s="1"/>
  <c r="H485" i="9"/>
  <c r="J485" i="9" s="1"/>
  <c r="H486" i="9"/>
  <c r="J486" i="9" s="1"/>
  <c r="H487" i="9"/>
  <c r="J487" i="9" s="1"/>
  <c r="H488" i="9"/>
  <c r="J488" i="9" s="1"/>
  <c r="H489" i="9"/>
  <c r="J489" i="9" s="1"/>
  <c r="H490" i="9"/>
  <c r="J490" i="9" s="1"/>
  <c r="H491" i="9"/>
  <c r="J491" i="9" s="1"/>
  <c r="H492" i="9"/>
  <c r="J492" i="9" s="1"/>
  <c r="H493" i="9"/>
  <c r="J493" i="9" s="1"/>
  <c r="H494" i="9"/>
  <c r="J494" i="9" s="1"/>
  <c r="H495" i="9"/>
  <c r="J495" i="9" s="1"/>
  <c r="H496" i="9"/>
  <c r="J496" i="9" s="1"/>
  <c r="H497" i="9"/>
  <c r="J497" i="9" s="1"/>
  <c r="H498" i="9"/>
  <c r="J498" i="9" s="1"/>
  <c r="H499" i="9"/>
  <c r="J499" i="9" s="1"/>
  <c r="H500" i="9"/>
  <c r="J500" i="9" s="1"/>
  <c r="H501" i="9"/>
  <c r="J501" i="9" s="1"/>
  <c r="H502" i="9"/>
  <c r="J502" i="9" s="1"/>
  <c r="H503" i="9"/>
  <c r="J503" i="9" s="1"/>
  <c r="H504" i="9"/>
  <c r="J504" i="9" s="1"/>
  <c r="H505" i="9"/>
  <c r="J505" i="9" s="1"/>
  <c r="H506" i="9"/>
  <c r="J506" i="9" s="1"/>
  <c r="H507" i="9"/>
  <c r="J507" i="9" s="1"/>
  <c r="H508" i="9"/>
  <c r="H509" i="9"/>
  <c r="J509" i="9" s="1"/>
  <c r="H510" i="9"/>
  <c r="J510" i="9" s="1"/>
  <c r="H511" i="9"/>
  <c r="J511" i="9" s="1"/>
  <c r="H512" i="9"/>
  <c r="H513" i="9"/>
  <c r="J513" i="9" s="1"/>
  <c r="H514" i="9"/>
  <c r="J514" i="9" s="1"/>
  <c r="H515" i="9"/>
  <c r="J515" i="9" s="1"/>
  <c r="H516" i="9"/>
  <c r="J516" i="9" s="1"/>
  <c r="H517" i="9"/>
  <c r="J517" i="9" s="1"/>
  <c r="H518" i="9"/>
  <c r="J518" i="9" s="1"/>
  <c r="H519" i="9"/>
  <c r="J519" i="9" s="1"/>
  <c r="H520" i="9"/>
  <c r="J520" i="9" s="1"/>
  <c r="H521" i="9"/>
  <c r="J521" i="9" s="1"/>
  <c r="H522" i="9"/>
  <c r="J522" i="9" s="1"/>
  <c r="H523" i="9"/>
  <c r="J523" i="9" s="1"/>
  <c r="H524" i="9"/>
  <c r="J524" i="9" s="1"/>
  <c r="H525" i="9"/>
  <c r="J525" i="9" s="1"/>
  <c r="H526" i="9"/>
  <c r="J526" i="9" s="1"/>
  <c r="H527" i="9"/>
  <c r="J527" i="9" s="1"/>
  <c r="H528" i="9"/>
  <c r="J528" i="9" s="1"/>
  <c r="H529" i="9"/>
  <c r="J529" i="9" s="1"/>
  <c r="H530" i="9"/>
  <c r="J530" i="9" s="1"/>
  <c r="H531" i="9"/>
  <c r="J531" i="9" s="1"/>
  <c r="H532" i="9"/>
  <c r="J532" i="9" s="1"/>
  <c r="H533" i="9"/>
  <c r="J533" i="9" s="1"/>
  <c r="H534" i="9"/>
  <c r="J534" i="9" s="1"/>
  <c r="H535" i="9"/>
  <c r="J535" i="9" s="1"/>
  <c r="H536" i="9"/>
  <c r="J536" i="9" s="1"/>
  <c r="H537" i="9"/>
  <c r="J537" i="9" s="1"/>
  <c r="H538" i="9"/>
  <c r="J538" i="9" s="1"/>
  <c r="H539" i="9"/>
  <c r="J539" i="9" s="1"/>
  <c r="H540" i="9"/>
  <c r="J540" i="9" s="1"/>
  <c r="H541" i="9"/>
  <c r="J541" i="9" s="1"/>
  <c r="H542" i="9"/>
  <c r="J542" i="9" s="1"/>
  <c r="H543" i="9"/>
  <c r="J543" i="9" s="1"/>
  <c r="H544" i="9"/>
  <c r="J544" i="9" s="1"/>
  <c r="H545" i="9"/>
  <c r="J545" i="9" s="1"/>
  <c r="H546" i="9"/>
  <c r="J546" i="9" s="1"/>
  <c r="H547" i="9"/>
  <c r="J547" i="9" s="1"/>
  <c r="H548" i="9"/>
  <c r="J548" i="9" s="1"/>
  <c r="H549" i="9"/>
  <c r="J549" i="9" s="1"/>
  <c r="H550" i="9"/>
  <c r="J550" i="9" s="1"/>
  <c r="H551" i="9"/>
  <c r="J551" i="9" s="1"/>
  <c r="H552" i="9"/>
  <c r="J552" i="9" s="1"/>
  <c r="H553" i="9"/>
  <c r="J553" i="9" s="1"/>
  <c r="H554" i="9"/>
  <c r="J554" i="9" s="1"/>
  <c r="H555" i="9"/>
  <c r="J555" i="9" s="1"/>
  <c r="H556" i="9"/>
  <c r="J556" i="9" s="1"/>
  <c r="H557" i="9"/>
  <c r="J557" i="9" s="1"/>
  <c r="H558" i="9"/>
  <c r="J558" i="9" s="1"/>
  <c r="H559" i="9"/>
  <c r="J559" i="9" s="1"/>
  <c r="H560" i="9"/>
  <c r="J560" i="9" s="1"/>
  <c r="H561" i="9"/>
  <c r="J561" i="9" s="1"/>
  <c r="H562" i="9"/>
  <c r="J562" i="9" s="1"/>
  <c r="H563" i="9"/>
  <c r="J563" i="9" s="1"/>
  <c r="H564" i="9"/>
  <c r="J564" i="9" s="1"/>
  <c r="H565" i="9"/>
  <c r="J565" i="9" s="1"/>
  <c r="H566" i="9"/>
  <c r="J566" i="9" s="1"/>
  <c r="H567" i="9"/>
  <c r="J567" i="9" s="1"/>
  <c r="H568" i="9"/>
  <c r="J568" i="9" s="1"/>
  <c r="H569" i="9"/>
  <c r="J569" i="9" s="1"/>
  <c r="H570" i="9"/>
  <c r="J570" i="9" s="1"/>
  <c r="H571" i="9"/>
  <c r="J571" i="9" s="1"/>
  <c r="H572" i="9"/>
  <c r="J572" i="9" s="1"/>
  <c r="H573" i="9"/>
  <c r="J573" i="9" s="1"/>
  <c r="H574" i="9"/>
  <c r="J574" i="9" s="1"/>
  <c r="H575" i="9"/>
  <c r="J575" i="9" s="1"/>
  <c r="H576" i="9"/>
  <c r="J576" i="9" s="1"/>
  <c r="H577" i="9"/>
  <c r="J577" i="9" s="1"/>
  <c r="H578" i="9"/>
  <c r="J578" i="9" s="1"/>
  <c r="H579" i="9"/>
  <c r="J579" i="9" s="1"/>
  <c r="H580" i="9"/>
  <c r="J580" i="9" s="1"/>
  <c r="H581" i="9"/>
  <c r="J581" i="9" s="1"/>
  <c r="H582" i="9"/>
  <c r="J582" i="9" s="1"/>
  <c r="H583" i="9"/>
  <c r="J583" i="9" s="1"/>
  <c r="H584" i="9"/>
  <c r="J584" i="9" s="1"/>
  <c r="H585" i="9"/>
  <c r="J585" i="9" s="1"/>
  <c r="H586" i="9"/>
  <c r="J586" i="9" s="1"/>
  <c r="H587" i="9"/>
  <c r="J587" i="9" s="1"/>
  <c r="H588" i="9"/>
  <c r="J588" i="9" s="1"/>
  <c r="H589" i="9"/>
  <c r="J589" i="9" s="1"/>
  <c r="H590" i="9"/>
  <c r="J590" i="9" s="1"/>
  <c r="H591" i="9"/>
  <c r="J591" i="9" s="1"/>
  <c r="H592" i="9"/>
  <c r="J592" i="9" s="1"/>
  <c r="H593" i="9"/>
  <c r="J593" i="9" s="1"/>
  <c r="H594" i="9"/>
  <c r="J594" i="9" s="1"/>
  <c r="H595" i="9"/>
  <c r="J595" i="9" s="1"/>
  <c r="H596" i="9"/>
  <c r="J596" i="9" s="1"/>
  <c r="H597" i="9"/>
  <c r="J597" i="9" s="1"/>
  <c r="H598" i="9"/>
  <c r="J598" i="9" s="1"/>
  <c r="H599" i="9"/>
  <c r="J599" i="9" s="1"/>
  <c r="H600" i="9"/>
  <c r="J600" i="9" s="1"/>
  <c r="H601" i="9"/>
  <c r="J601" i="9" s="1"/>
  <c r="H602" i="9"/>
  <c r="J602" i="9" s="1"/>
  <c r="H603" i="9"/>
  <c r="J603" i="9" s="1"/>
  <c r="H604" i="9"/>
  <c r="J604" i="9" s="1"/>
  <c r="H605" i="9"/>
  <c r="J605" i="9" s="1"/>
  <c r="H606" i="9"/>
  <c r="J606" i="9" s="1"/>
  <c r="H607" i="9"/>
  <c r="J607" i="9" s="1"/>
  <c r="H608" i="9"/>
  <c r="J608" i="9" s="1"/>
  <c r="H609" i="9"/>
  <c r="J609" i="9" s="1"/>
  <c r="H610" i="9"/>
  <c r="J610" i="9" s="1"/>
  <c r="H611" i="9"/>
  <c r="J611" i="9" s="1"/>
  <c r="H612" i="9"/>
  <c r="J612" i="9" s="1"/>
  <c r="H613" i="9"/>
  <c r="J613" i="9" s="1"/>
  <c r="H614" i="9"/>
  <c r="J614" i="9" s="1"/>
  <c r="H615" i="9"/>
  <c r="J615" i="9" s="1"/>
  <c r="H616" i="9"/>
  <c r="J616" i="9" s="1"/>
  <c r="H617" i="9"/>
  <c r="J617" i="9" s="1"/>
  <c r="H618" i="9"/>
  <c r="J618" i="9" s="1"/>
  <c r="H619" i="9"/>
  <c r="J619" i="9" s="1"/>
  <c r="H620" i="9"/>
  <c r="J620" i="9" s="1"/>
  <c r="H621" i="9"/>
  <c r="J621" i="9" s="1"/>
  <c r="H622" i="9"/>
  <c r="J622" i="9" s="1"/>
  <c r="H623" i="9"/>
  <c r="J623" i="9" s="1"/>
  <c r="H624" i="9"/>
  <c r="J624" i="9" s="1"/>
  <c r="H625" i="9"/>
  <c r="J625" i="9" s="1"/>
  <c r="H626" i="9"/>
  <c r="J626" i="9" s="1"/>
  <c r="H627" i="9"/>
  <c r="J627" i="9" s="1"/>
  <c r="H628" i="9"/>
  <c r="J628" i="9" s="1"/>
  <c r="H629" i="9"/>
  <c r="J629" i="9" s="1"/>
  <c r="H630" i="9"/>
  <c r="J630" i="9" s="1"/>
  <c r="H631" i="9"/>
  <c r="J631" i="9" s="1"/>
  <c r="H632" i="9"/>
  <c r="J632" i="9" s="1"/>
  <c r="H633" i="9"/>
  <c r="J633" i="9" s="1"/>
  <c r="H634" i="9"/>
  <c r="J634" i="9" s="1"/>
  <c r="H635" i="9"/>
  <c r="J635" i="9" s="1"/>
  <c r="H636" i="9"/>
  <c r="J636" i="9" s="1"/>
  <c r="H637" i="9"/>
  <c r="J637" i="9" s="1"/>
  <c r="H638" i="9"/>
  <c r="J638" i="9" s="1"/>
  <c r="H639" i="9"/>
  <c r="J639" i="9" s="1"/>
  <c r="H640" i="9"/>
  <c r="J640" i="9" s="1"/>
  <c r="H641" i="9"/>
  <c r="J641" i="9" s="1"/>
  <c r="H642" i="9"/>
  <c r="J642" i="9" s="1"/>
  <c r="H643" i="9"/>
  <c r="J643" i="9" s="1"/>
  <c r="H644" i="9"/>
  <c r="J644" i="9" s="1"/>
  <c r="H645" i="9"/>
  <c r="J645" i="9" s="1"/>
  <c r="H646" i="9"/>
  <c r="J646" i="9" s="1"/>
  <c r="H647" i="9"/>
  <c r="J647" i="9" s="1"/>
  <c r="H648" i="9"/>
  <c r="J648" i="9" s="1"/>
  <c r="H649" i="9"/>
  <c r="J649" i="9" s="1"/>
  <c r="H650" i="9"/>
  <c r="J650" i="9" s="1"/>
  <c r="H651" i="9"/>
  <c r="J651" i="9" s="1"/>
  <c r="H652" i="9"/>
  <c r="J652" i="9" s="1"/>
  <c r="H653" i="9"/>
  <c r="J653" i="9" s="1"/>
  <c r="H654" i="9"/>
  <c r="J654" i="9" s="1"/>
  <c r="H655" i="9"/>
  <c r="J655" i="9" s="1"/>
  <c r="H656" i="9"/>
  <c r="J656" i="9" s="1"/>
  <c r="H657" i="9"/>
  <c r="J657" i="9" s="1"/>
  <c r="H658" i="9"/>
  <c r="J658" i="9" s="1"/>
  <c r="H659" i="9"/>
  <c r="J659" i="9" s="1"/>
  <c r="H660" i="9"/>
  <c r="J660" i="9" s="1"/>
  <c r="H661" i="9"/>
  <c r="J661" i="9" s="1"/>
  <c r="H662" i="9"/>
  <c r="J662" i="9" s="1"/>
  <c r="H663" i="9"/>
  <c r="J663" i="9" s="1"/>
  <c r="H664" i="9"/>
  <c r="J664" i="9" s="1"/>
  <c r="H665" i="9"/>
  <c r="J665" i="9" s="1"/>
  <c r="H666" i="9"/>
  <c r="J666" i="9" s="1"/>
  <c r="H667" i="9"/>
  <c r="J667" i="9" s="1"/>
  <c r="H668" i="9"/>
  <c r="J668" i="9" s="1"/>
  <c r="H669" i="9"/>
  <c r="J669" i="9" s="1"/>
  <c r="H670" i="9"/>
  <c r="J670" i="9" s="1"/>
  <c r="H671" i="9"/>
  <c r="J671" i="9" s="1"/>
  <c r="H672" i="9"/>
  <c r="J672" i="9" s="1"/>
  <c r="H673" i="9"/>
  <c r="J673" i="9" s="1"/>
  <c r="H674" i="9"/>
  <c r="J674" i="9" s="1"/>
  <c r="H675" i="9"/>
  <c r="J675" i="9" s="1"/>
  <c r="H676" i="9"/>
  <c r="J676" i="9" s="1"/>
  <c r="H677" i="9"/>
  <c r="J677" i="9" s="1"/>
  <c r="H678" i="9"/>
  <c r="J678" i="9" s="1"/>
  <c r="H679" i="9"/>
  <c r="J679" i="9" s="1"/>
  <c r="H680" i="9"/>
  <c r="J680" i="9" s="1"/>
  <c r="H681" i="9"/>
  <c r="J681" i="9" s="1"/>
  <c r="H682" i="9"/>
  <c r="J682" i="9" s="1"/>
  <c r="H683" i="9"/>
  <c r="J683" i="9" s="1"/>
  <c r="H684" i="9"/>
  <c r="J684" i="9" s="1"/>
  <c r="H685" i="9"/>
  <c r="J685" i="9" s="1"/>
  <c r="H686" i="9"/>
  <c r="J686" i="9" s="1"/>
  <c r="H687" i="9"/>
  <c r="J687" i="9" s="1"/>
  <c r="H688" i="9"/>
  <c r="J688" i="9" s="1"/>
  <c r="H689" i="9"/>
  <c r="J689" i="9" s="1"/>
  <c r="H690" i="9"/>
  <c r="J690" i="9" s="1"/>
  <c r="H691" i="9"/>
  <c r="J691" i="9" s="1"/>
  <c r="H692" i="9"/>
  <c r="J692" i="9" s="1"/>
  <c r="H693" i="9"/>
  <c r="J693" i="9" s="1"/>
  <c r="H694" i="9"/>
  <c r="J694" i="9" s="1"/>
  <c r="H695" i="9"/>
  <c r="J695" i="9" s="1"/>
  <c r="H696" i="9"/>
  <c r="J696" i="9" s="1"/>
  <c r="H697" i="9"/>
  <c r="J697" i="9" s="1"/>
  <c r="H698" i="9"/>
  <c r="J698" i="9" s="1"/>
  <c r="H699" i="9"/>
  <c r="J699" i="9" s="1"/>
  <c r="H700" i="9"/>
  <c r="J700" i="9" s="1"/>
  <c r="H701" i="9"/>
  <c r="J701" i="9" s="1"/>
  <c r="H2" i="9"/>
  <c r="J2" i="9" s="1"/>
  <c r="E5" i="12" a="1"/>
  <c r="G6" i="12" s="1"/>
  <c r="C5" i="12" a="1"/>
  <c r="C5" i="12" s="1"/>
  <c r="Z17" i="6"/>
  <c r="Y23" i="6"/>
  <c r="Y22" i="6"/>
  <c r="Y21" i="6"/>
  <c r="Y20" i="6"/>
  <c r="Y19" i="6"/>
  <c r="Y18" i="6"/>
  <c r="Y17" i="6"/>
  <c r="C9" i="6"/>
  <c r="Z19" i="6"/>
  <c r="Z20" i="6"/>
  <c r="Z21" i="6"/>
  <c r="Z23" i="6"/>
  <c r="L10" i="6"/>
  <c r="R7" i="6"/>
  <c r="Z22" i="6"/>
  <c r="G7" i="6"/>
  <c r="Z18" i="6"/>
  <c r="J278" i="9" l="1"/>
  <c r="J274" i="9"/>
  <c r="F9" i="12"/>
  <c r="F10" i="12"/>
  <c r="G9" i="12"/>
  <c r="F8" i="12"/>
  <c r="G8" i="12"/>
  <c r="F7" i="12"/>
  <c r="G7" i="12"/>
  <c r="F6" i="12"/>
  <c r="G10" i="12"/>
  <c r="J508" i="9"/>
  <c r="J512" i="9"/>
  <c r="E5" i="12"/>
  <c r="O5" i="12"/>
  <c r="G10" i="6"/>
  <c r="G5" i="12" l="1"/>
  <c r="F5" i="12"/>
  <c r="O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<sst xmlns="http://schemas.openxmlformats.org/spreadsheetml/2006/main" count="2206" uniqueCount="62">
  <si>
    <t>Fortune Cookie</t>
  </si>
  <si>
    <t>Sugar</t>
  </si>
  <si>
    <t>Snickerdoodle</t>
  </si>
  <si>
    <t>Chocolate Chip</t>
  </si>
  <si>
    <t>Oatmeal Raisin</t>
  </si>
  <si>
    <t>White Chocolate Macadamia Nut</t>
  </si>
  <si>
    <t>Estimated Revenue</t>
  </si>
  <si>
    <t>Date</t>
  </si>
  <si>
    <t>Units Sold</t>
  </si>
  <si>
    <t>Product Name</t>
  </si>
  <si>
    <t>Order_ID</t>
  </si>
  <si>
    <t>Estimated Cost Price</t>
  </si>
  <si>
    <t>Profit Margin</t>
  </si>
  <si>
    <t>Sum of Estimated Profit</t>
  </si>
  <si>
    <t>Row Labels</t>
  </si>
  <si>
    <t>Grand Total</t>
  </si>
  <si>
    <t>Average of Profit Margin</t>
  </si>
  <si>
    <t>Sum of Units Sold</t>
  </si>
  <si>
    <t>Count of Order_ID</t>
  </si>
  <si>
    <t>Average Unit Sold per Order</t>
  </si>
  <si>
    <t>Profit per Order</t>
  </si>
  <si>
    <t>Retailers_ID</t>
  </si>
  <si>
    <t>Units Sold by Retailers</t>
  </si>
  <si>
    <t>Profit by Retailers</t>
  </si>
  <si>
    <t>Revenue</t>
  </si>
  <si>
    <t>Profit</t>
  </si>
  <si>
    <t>Estimated Cost</t>
  </si>
  <si>
    <t>Customer_ID</t>
  </si>
  <si>
    <t>Pages</t>
  </si>
  <si>
    <t>Description</t>
  </si>
  <si>
    <t>V1</t>
  </si>
  <si>
    <t>V2</t>
  </si>
  <si>
    <t>V3</t>
  </si>
  <si>
    <t>V4</t>
  </si>
  <si>
    <t>Raw Data</t>
  </si>
  <si>
    <t>Dashboard</t>
  </si>
  <si>
    <t>V5</t>
  </si>
  <si>
    <t>Index</t>
  </si>
  <si>
    <t>Retailers     Pivot     Table</t>
  </si>
  <si>
    <t>Retailers ID</t>
  </si>
  <si>
    <t>No of Retailers</t>
  </si>
  <si>
    <t>No of Products</t>
  </si>
  <si>
    <t>Somewhat clean (Remove Blank Rows)</t>
  </si>
  <si>
    <t>Final Clean</t>
  </si>
  <si>
    <t>Pivots Table</t>
  </si>
  <si>
    <t>V6</t>
  </si>
  <si>
    <t>Product Sold</t>
  </si>
  <si>
    <t>Retailers Profit Margin</t>
  </si>
  <si>
    <t>Product Profit</t>
  </si>
  <si>
    <t>Unit Sold vs Profit</t>
  </si>
  <si>
    <t>Product Cost</t>
  </si>
  <si>
    <t>Actual Cost</t>
  </si>
  <si>
    <t>Cost per product</t>
  </si>
  <si>
    <t>Actual cost per product</t>
  </si>
  <si>
    <t>profit per product</t>
  </si>
  <si>
    <t>Total Profit</t>
  </si>
  <si>
    <t>Total Product</t>
  </si>
  <si>
    <t>Total Revenue</t>
  </si>
  <si>
    <t>Unique Retailers &amp; Products (Analysis)</t>
  </si>
  <si>
    <t>Total Orders</t>
  </si>
  <si>
    <r>
      <t>(Revenue vs Profit)</t>
    </r>
    <r>
      <rPr>
        <sz val="11"/>
        <color theme="1"/>
        <rFont val="Calibri"/>
        <family val="2"/>
        <scheme val="minor"/>
      </rPr>
      <t xml:space="preserve"> per Order</t>
    </r>
  </si>
  <si>
    <t>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</si>
</sst>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General&quot;%&quot;"/>
    <numFmt numFmtId="165" formatCode="0.00,&quot;K&quot;"/>
    <numFmt numFmtId="166" formatCode="dd\/mm\/yyyy"/>
  </numFmts>
  <fonts count="13" x14ac:knownFonts="1">
    <font>
      <sz val="11"/>
      <color theme="1"/>
      <name val="Calibri"/>
      <family val="2"/>
      <scheme val="minor"/>
    </font>
    <font>
      <sz val="8"/>
      <name val="Calibri"/>
      <family val="2"/>
      <scheme val="minor"/>
    </font>
    <font>
      <b/>
      <sz val="11"/>
      <color theme="0"/>
      <name val="Calibri"/>
      <family val="2"/>
      <scheme val="minor"/>
    </font>
    <font>
      <sz val="11"/>
      <color theme="1"/>
      <name val="Calibri"/>
      <family val="2"/>
      <scheme val="minor"/>
    </font>
    <font>
      <b/>
      <sz val="11"/>
      <color theme="1"/>
      <name val="Calibri"/>
      <family val="2"/>
      <scheme val="minor"/>
    </font>
    <font>
      <sz val="22"/>
      <color theme="1"/>
      <name val="Calibri"/>
      <family val="2"/>
      <scheme val="minor"/>
    </font>
    <font>
      <sz val="16"/>
      <color theme="1"/>
      <name val="Bahnschrift Condensed"/>
      <family val="2"/>
    </font>
    <font>
      <u/>
      <sz val="11"/>
      <color theme="10"/>
      <name val="Calibri"/>
      <family val="2"/>
      <scheme val="minor"/>
    </font>
    <font>
      <sz val="22"/>
      <color theme="1"/>
      <name val="Bahnschrift SemiBold SemiConden"/>
      <family val="2"/>
    </font>
    <font>
      <sz val="11"/>
      <color theme="1"/>
      <name val="Bahnschrift SemiBold SemiConden"/>
      <family val="2"/>
    </font>
    <font>
      <sz val="20"/>
      <color theme="1"/>
      <name val="Bahnschrift SemiBold SemiConden"/>
      <family val="2"/>
    </font>
    <font>
      <sz val="16"/>
      <color theme="1"/>
      <name val="Bahnschrift SemiBold SemiConden"/>
      <family val="2"/>
    </font>
    <font>
      <b/>
      <sz val="16"/>
      <color theme="1"/>
      <name val="Bahnschrift Condensed"/>
      <family val="2"/>
    </font>
  </fonts>
  <fills count="10">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BB5611"/>
        <bgColor indexed="64"/>
      </patternFill>
    </fill>
    <fill>
      <patternFill patternType="solid">
        <fgColor rgb="FFF09252"/>
        <bgColor indexed="64"/>
      </patternFill>
    </fill>
    <fill>
      <patternFill patternType="solid">
        <fgColor theme="5"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3">
    <xf numFmtId="0" fontId="0" fillId="0" borderId="0"/>
    <xf numFmtId="44" fontId="3" fillId="0" borderId="0" applyFont="0" applyFill="0" applyBorder="0" applyAlignment="0" applyProtection="0"/>
    <xf numFmtId="0" fontId="7" fillId="0" borderId="0" applyNumberFormat="0" applyFill="0" applyBorder="0" applyAlignment="0" applyProtection="0"/>
  </cellStyleXfs>
  <cellXfs count="60">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4" fontId="0" fillId="0" borderId="0" xfId="0" applyNumberFormat="1"/>
    <xf numFmtId="165" fontId="0" fillId="0" borderId="0" xfId="0" applyNumberFormat="1"/>
    <xf numFmtId="0" fontId="2" fillId="2" borderId="0" xfId="0" applyFont="1" applyFill="1"/>
    <xf numFmtId="14" fontId="2" fillId="2" borderId="0" xfId="0" applyNumberFormat="1" applyFont="1" applyFill="1"/>
    <xf numFmtId="0" fontId="0" fillId="3" borderId="0" xfId="0" applyFill="1"/>
    <xf numFmtId="166" fontId="0" fillId="0" borderId="0" xfId="0" applyNumberFormat="1"/>
    <xf numFmtId="0" fontId="4" fillId="0" borderId="0" xfId="0" applyFont="1"/>
    <xf numFmtId="0" fontId="4" fillId="4" borderId="0" xfId="0" applyFont="1" applyFill="1"/>
    <xf numFmtId="14" fontId="4" fillId="4" borderId="0" xfId="0" applyNumberFormat="1" applyFont="1" applyFill="1"/>
    <xf numFmtId="0" fontId="0" fillId="5" borderId="1" xfId="0" applyFill="1" applyBorder="1"/>
    <xf numFmtId="165" fontId="0" fillId="0" borderId="1" xfId="0" applyNumberFormat="1" applyBorder="1"/>
    <xf numFmtId="0" fontId="0" fillId="6" borderId="1" xfId="0" applyFill="1" applyBorder="1"/>
    <xf numFmtId="0" fontId="0" fillId="0" borderId="1" xfId="0" applyBorder="1" applyAlignment="1">
      <alignment horizontal="center"/>
    </xf>
    <xf numFmtId="0" fontId="0" fillId="0" borderId="1" xfId="0" applyBorder="1"/>
    <xf numFmtId="0" fontId="6" fillId="7" borderId="1" xfId="0" applyFont="1" applyFill="1" applyBorder="1" applyAlignment="1">
      <alignment horizontal="center" vertical="center"/>
    </xf>
    <xf numFmtId="0" fontId="0" fillId="8" borderId="1" xfId="0" applyFill="1" applyBorder="1"/>
    <xf numFmtId="0" fontId="0" fillId="0" borderId="1" xfId="0" applyBorder="1" applyAlignment="1">
      <alignment horizontal="left"/>
    </xf>
    <xf numFmtId="2" fontId="0" fillId="0" borderId="1" xfId="0" applyNumberFormat="1" applyBorder="1"/>
    <xf numFmtId="1" fontId="0" fillId="0" borderId="1" xfId="0" applyNumberFormat="1" applyBorder="1"/>
    <xf numFmtId="0" fontId="0" fillId="0" borderId="15" xfId="0" pivotButton="1" applyBorder="1"/>
    <xf numFmtId="0" fontId="0" fillId="0" borderId="15" xfId="0" applyBorder="1"/>
    <xf numFmtId="0" fontId="0" fillId="0" borderId="0" xfId="0" applyAlignment="1">
      <alignment horizontal="center" vertical="center"/>
    </xf>
    <xf numFmtId="0" fontId="0" fillId="0" borderId="19" xfId="0" applyBorder="1"/>
    <xf numFmtId="0" fontId="0" fillId="0" borderId="19" xfId="0" applyBorder="1" applyAlignment="1">
      <alignment horizontal="center" vertical="center"/>
    </xf>
    <xf numFmtId="0" fontId="11" fillId="6" borderId="6" xfId="0" applyFont="1" applyFill="1" applyBorder="1" applyAlignment="1">
      <alignment horizontal="center" vertical="center"/>
    </xf>
    <xf numFmtId="0" fontId="11" fillId="0" borderId="11" xfId="2" applyFont="1" applyBorder="1" applyAlignment="1">
      <alignment vertical="center"/>
    </xf>
    <xf numFmtId="0" fontId="11" fillId="0" borderId="12" xfId="2" applyFont="1" applyBorder="1" applyAlignment="1">
      <alignment vertical="center"/>
    </xf>
    <xf numFmtId="0" fontId="11" fillId="0" borderId="13" xfId="2" applyFont="1" applyBorder="1" applyAlignment="1">
      <alignment vertical="center"/>
    </xf>
    <xf numFmtId="0" fontId="11" fillId="0" borderId="14" xfId="2" applyFont="1" applyBorder="1" applyAlignment="1">
      <alignment vertical="center"/>
    </xf>
    <xf numFmtId="0" fontId="0" fillId="0" borderId="0" xfId="1" applyNumberFormat="1" applyFont="1"/>
    <xf numFmtId="0" fontId="12" fillId="7" borderId="1" xfId="0" applyFont="1" applyFill="1" applyBorder="1" applyAlignment="1">
      <alignment horizontal="center" vertical="center"/>
    </xf>
    <xf numFmtId="44" fontId="0" fillId="0" borderId="1" xfId="1" applyFont="1" applyBorder="1"/>
    <xf numFmtId="44" fontId="0" fillId="0" borderId="0" xfId="1" applyFont="1"/>
    <xf numFmtId="44" fontId="0" fillId="0" borderId="1" xfId="0" applyNumberFormat="1" applyBorder="1"/>
    <xf numFmtId="44" fontId="0" fillId="0" borderId="0" xfId="0" applyNumberFormat="1"/>
    <xf numFmtId="0" fontId="12" fillId="7" borderId="23" xfId="0" applyFont="1" applyFill="1" applyBorder="1" applyAlignment="1">
      <alignment horizontal="center" vertical="center"/>
    </xf>
    <xf numFmtId="0" fontId="10" fillId="6" borderId="7" xfId="0" applyFont="1" applyFill="1" applyBorder="1" applyAlignment="1">
      <alignment horizontal="center" vertical="center"/>
    </xf>
    <xf numFmtId="0" fontId="10" fillId="6"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9" borderId="2" xfId="0" applyFont="1" applyFill="1" applyBorder="1" applyAlignment="1">
      <alignment horizontal="center" vertical="center"/>
    </xf>
    <xf numFmtId="0" fontId="9" fillId="9" borderId="3" xfId="0" applyFont="1" applyFill="1" applyBorder="1" applyAlignment="1">
      <alignment horizontal="center" vertical="center"/>
    </xf>
    <xf numFmtId="0" fontId="9" fillId="9" borderId="4" xfId="0" applyFont="1" applyFill="1" applyBorder="1" applyAlignment="1">
      <alignment horizontal="center" vertical="center"/>
    </xf>
    <xf numFmtId="0" fontId="9" fillId="9" borderId="5" xfId="0" applyFont="1" applyFill="1" applyBorder="1" applyAlignment="1">
      <alignment horizontal="center" vertical="center"/>
    </xf>
    <xf numFmtId="0" fontId="5" fillId="0" borderId="2" xfId="0" applyFont="1" applyBorder="1" applyAlignment="1">
      <alignment horizontal="center" vertical="center"/>
    </xf>
    <xf numFmtId="0" fontId="0" fillId="0" borderId="2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2" xfId="0" applyBorder="1" applyAlignment="1">
      <alignment horizontal="center" vertical="center"/>
    </xf>
    <xf numFmtId="0" fontId="0" fillId="0" borderId="5" xfId="0"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0" fillId="0" borderId="20" xfId="0" applyBorder="1" applyAlignment="1">
      <alignment horizontal="center"/>
    </xf>
  </cellXfs>
  <cellStyles count="3">
    <cellStyle name="Currency" xfId="1" builtinId="4"/>
    <cellStyle name="Hyperlink" xfId="2" builtinId="8"/>
    <cellStyle name="Normal" xfId="0" builtinId="0"/>
  </cellStyles>
  <dxfs count="50">
    <dxf>
      <numFmt numFmtId="2" formatCode="0.00"/>
    </dxf>
    <dxf>
      <numFmt numFmtId="34" formatCode="_(&quot;$&quot;* #,##0.00_);_(&quot;$&quot;* \(#,##0.00\);_(&quot;$&quot;* &quot;-&quot;??_);_(@_)"/>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 formatCode="0"/>
    </dxf>
    <dxf>
      <numFmt numFmtId="1" formatCode="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quot;K&quo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4"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quot;K&quot;"/>
    </dxf>
    <dxf>
      <numFmt numFmtId="1" formatCode="0"/>
    </dxf>
    <dxf>
      <numFmt numFmtId="165" formatCode="0.00,&quot;K&quot;"/>
    </dxf>
    <dxf>
      <numFmt numFmtId="165" formatCode="0.00,&quot;K&quo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quot;K&quot;"/>
    </dxf>
    <dxf>
      <numFmt numFmtId="165" formatCode="0.00,&quot;K&quot;"/>
    </dxf>
    <dxf>
      <numFmt numFmtId="0" formatCode="General"/>
    </dxf>
    <dxf>
      <numFmt numFmtId="166" formatCode="dd\/mm\/yyyy"/>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5"/>
        </patternFill>
      </fill>
    </dxf>
    <dxf>
      <font>
        <b/>
        <i val="0"/>
      </font>
    </dxf>
    <dxf>
      <fill>
        <patternFill>
          <bgColor rgb="FFF4B183"/>
        </patternFill>
      </fill>
      <border diagonalUp="0" diagonalDown="0">
        <left/>
        <right/>
        <top/>
        <bottom/>
        <vertical/>
        <horizontal/>
      </border>
    </dxf>
  </dxfs>
  <tableStyles count="1" defaultTableStyle="TableStyleMedium2" defaultPivotStyle="PivotStyleLight16">
    <tableStyle name="Slicer Style 1" pivot="0" table="0" count="7" xr9:uid="{8D442108-8CC0-46CB-824C-34B85A6B1538}">
      <tableStyleElement type="wholeTable" dxfId="49"/>
      <tableStyleElement type="headerRow" dxfId="48"/>
    </tableStyle>
  </tableStyles>
  <colors>
    <mruColors>
      <color rgb="FFBB5611"/>
      <color rgb="FFA54C0F"/>
      <color rgb="FFF09252"/>
      <color rgb="FFDA6414"/>
      <color rgb="FF6BA743"/>
      <color rgb="FFF2A36E"/>
      <color rgb="FF70330A"/>
      <color rgb="FF391A05"/>
      <color rgb="FF4D2307"/>
      <color rgb="FF8BC266"/>
    </mruColors>
  </colors>
  <extLst>
    <ext xmlns:x14="http://schemas.microsoft.com/office/spreadsheetml/2009/9/main" uri="{46F421CA-312F-682f-3DD2-61675219B42D}">
      <x14:dxfs count="5">
        <dxf>
          <fill>
            <patternFill>
              <bgColor theme="1"/>
            </patternFill>
          </fill>
        </dxf>
        <dxf>
          <fill>
            <patternFill>
              <bgColor theme="5" tint="0.79998168889431442"/>
            </patternFill>
          </fill>
        </dxf>
        <dxf>
          <fill>
            <patternFill>
              <bgColor theme="5" tint="0.59996337778862885"/>
            </patternFill>
          </fill>
        </dxf>
        <dxf>
          <fill>
            <patternFill>
              <bgColor rgb="FF000000"/>
            </patternFill>
          </fill>
        </dxf>
        <dxf>
          <fill>
            <patternFill>
              <bgColor rgb="FFF4B18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[Wholeseller Cookies Sales Dataset.xlsx]V5!PT6</c:name>
    <c:fmtId val="5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69973925857684E-3"/>
          <c:y val="0.14847970195226923"/>
          <c:w val="0.97842704132608782"/>
          <c:h val="0.65310089170307684"/>
        </c:manualLayout>
      </c:layout>
      <c:barChart>
        <c:barDir val="col"/>
        <c:grouping val="clustered"/>
        <c:varyColors val="0"/>
        <c:ser>
          <c:idx val="0"/>
          <c:order val="0"/>
          <c:tx>
            <c:strRef>
              <c:f>'V5'!$V$6</c:f>
              <c:strCache>
                <c:ptCount val="1"/>
                <c:pt idx="0">
                  <c:v>Revenue</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'V5'!$U$7:$U$13</c:f>
              <c:strCache>
                <c:ptCount val="6"/>
                <c:pt idx="0">
                  <c:v>Chocolate Chip</c:v>
                </c:pt>
                <c:pt idx="1">
                  <c:v>Fortune Cookie</c:v>
                </c:pt>
                <c:pt idx="2">
                  <c:v>Oatmeal Raisin</c:v>
                </c:pt>
                <c:pt idx="3">
                  <c:v>Snickerdoodle</c:v>
                </c:pt>
                <c:pt idx="4">
                  <c:v>Sugar</c:v>
                </c:pt>
                <c:pt idx="5">
                  <c:v>White Chocolate Macadamia Nut</c:v>
                </c:pt>
              </c:strCache>
            </c:strRef>
          </c:cat>
          <c:val>
            <c:numRef>
              <c:f>'V5'!$V$7:$V$13</c:f>
              <c:numCache>
                <c:formatCode>0.00,"K"</c:formatCode>
                <c:ptCount val="6"/>
                <c:pt idx="0">
                  <c:v>8372.264851485148</c:v>
                </c:pt>
                <c:pt idx="1">
                  <c:v>1658.0430107526881</c:v>
                </c:pt>
                <c:pt idx="2">
                  <c:v>8261.4361702127662</c:v>
                </c:pt>
                <c:pt idx="3">
                  <c:v>6315.9569892473119</c:v>
                </c:pt>
                <c:pt idx="4">
                  <c:v>4645.4036697247702</c:v>
                </c:pt>
                <c:pt idx="5">
                  <c:v>8940.798165137614</c:v>
                </c:pt>
              </c:numCache>
            </c:numRef>
          </c:val>
          <c:extLst>
            <c:ext xmlns:c16="http://schemas.microsoft.com/office/drawing/2014/chart" uri="{C3380CC4-5D6E-409C-BE32-E72D297353CC}">
              <c16:uniqueId val="{00000000-00E7-4F4E-B82C-FAA7241235AE}"/>
            </c:ext>
          </c:extLst>
        </c:ser>
        <c:ser>
          <c:idx val="1"/>
          <c:order val="1"/>
          <c:tx>
            <c:strRef>
              <c:f>'V5'!$W$6</c:f>
              <c:strCache>
                <c:ptCount val="1"/>
                <c:pt idx="0">
                  <c:v>Profit</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'V5'!$U$7:$U$13</c:f>
              <c:strCache>
                <c:ptCount val="6"/>
                <c:pt idx="0">
                  <c:v>Chocolate Chip</c:v>
                </c:pt>
                <c:pt idx="1">
                  <c:v>Fortune Cookie</c:v>
                </c:pt>
                <c:pt idx="2">
                  <c:v>Oatmeal Raisin</c:v>
                </c:pt>
                <c:pt idx="3">
                  <c:v>Snickerdoodle</c:v>
                </c:pt>
                <c:pt idx="4">
                  <c:v>Sugar</c:v>
                </c:pt>
                <c:pt idx="5">
                  <c:v>White Chocolate Macadamia Nut</c:v>
                </c:pt>
              </c:strCache>
            </c:strRef>
          </c:cat>
          <c:val>
            <c:numRef>
              <c:f>'V5'!$W$7:$W$13</c:f>
              <c:numCache>
                <c:formatCode>0.00,"K"</c:formatCode>
                <c:ptCount val="6"/>
                <c:pt idx="0">
                  <c:v>5023.3589108910892</c:v>
                </c:pt>
                <c:pt idx="1">
                  <c:v>829.02150537634407</c:v>
                </c:pt>
                <c:pt idx="2">
                  <c:v>4626.4042553191503</c:v>
                </c:pt>
                <c:pt idx="3">
                  <c:v>3947.4731182795699</c:v>
                </c:pt>
                <c:pt idx="4">
                  <c:v>2709.8191743119269</c:v>
                </c:pt>
                <c:pt idx="5">
                  <c:v>4842.9324770642206</c:v>
                </c:pt>
              </c:numCache>
            </c:numRef>
          </c:val>
          <c:extLst>
            <c:ext xmlns:c16="http://schemas.microsoft.com/office/drawing/2014/chart" uri="{C3380CC4-5D6E-409C-BE32-E72D297353CC}">
              <c16:uniqueId val="{00000001-00E7-4F4E-B82C-FAA7241235AE}"/>
            </c:ext>
          </c:extLst>
        </c:ser>
        <c:dLbls>
          <c:dLblPos val="outEnd"/>
          <c:showLegendKey val="0"/>
          <c:showVal val="1"/>
          <c:showCatName val="0"/>
          <c:showSerName val="0"/>
          <c:showPercent val="0"/>
          <c:showBubbleSize val="0"/>
        </c:dLbls>
        <c:gapWidth val="101"/>
        <c:overlap val="-4"/>
        <c:axId val="1756653599"/>
        <c:axId val="1756667519"/>
      </c:barChart>
      <c:catAx>
        <c:axId val="17566535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56667519"/>
        <c:crosses val="autoZero"/>
        <c:auto val="1"/>
        <c:lblAlgn val="ctr"/>
        <c:lblOffset val="100"/>
        <c:noMultiLvlLbl val="0"/>
      </c:catAx>
      <c:valAx>
        <c:axId val="1756667519"/>
        <c:scaling>
          <c:orientation val="minMax"/>
        </c:scaling>
        <c:delete val="1"/>
        <c:axPos val="l"/>
        <c:numFmt formatCode="0.00,&quot;K&quot;" sourceLinked="1"/>
        <c:majorTickMark val="none"/>
        <c:minorTickMark val="none"/>
        <c:tickLblPos val="nextTo"/>
        <c:crossAx val="1756653599"/>
        <c:crosses val="autoZero"/>
        <c:crossBetween val="between"/>
      </c:valAx>
      <c:spPr>
        <a:noFill/>
        <a:ln>
          <a:noFill/>
        </a:ln>
        <a:effectLst/>
      </c:spPr>
    </c:plotArea>
    <c:legend>
      <c:legendPos val="t"/>
      <c:layout>
        <c:manualLayout>
          <c:xMode val="edge"/>
          <c:yMode val="edge"/>
          <c:x val="0.12413819217513945"/>
          <c:y val="1.1228067693754895E-2"/>
          <c:w val="0.7517234598250494"/>
          <c:h val="0.1151075861069018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[Wholeseller Cookies Sales Dataset.xlsx]V5!PT10</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solidFill>
                  <a:schemeClr val="tx1"/>
                </a:solidFill>
              </a:rPr>
              <a:t>Profit</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273C18"/>
          </a:solidFill>
          <a:ln w="19050">
            <a:solidFill>
              <a:schemeClr val="lt1"/>
            </a:solidFill>
          </a:ln>
          <a:effectLst/>
        </c:spPr>
      </c:pivotFmt>
      <c:pivotFmt>
        <c:idx val="10"/>
        <c:spPr>
          <a:solidFill>
            <a:srgbClr val="8BC266"/>
          </a:solidFill>
          <a:ln w="19050">
            <a:solidFill>
              <a:schemeClr val="lt1"/>
            </a:solidFill>
          </a:ln>
          <a:effectLst/>
        </c:spPr>
      </c:pivotFmt>
      <c:pivotFmt>
        <c:idx val="11"/>
        <c:spPr>
          <a:solidFill>
            <a:srgbClr val="5A8C38"/>
          </a:solidFill>
          <a:ln w="19050">
            <a:solidFill>
              <a:schemeClr val="lt1"/>
            </a:solidFill>
          </a:ln>
          <a:effectLst/>
        </c:spPr>
      </c:pivotFmt>
      <c:pivotFmt>
        <c:idx val="12"/>
        <c:spPr>
          <a:solidFill>
            <a:srgbClr val="324D1F"/>
          </a:solidFill>
          <a:ln w="19050">
            <a:solidFill>
              <a:schemeClr val="lt1"/>
            </a:solidFill>
          </a:ln>
          <a:effectLst/>
        </c:spPr>
      </c:pivotFmt>
      <c:pivotFmt>
        <c:idx val="13"/>
        <c:spPr>
          <a:solidFill>
            <a:srgbClr val="6BA743"/>
          </a:solidFill>
          <a:ln w="19050">
            <a:solidFill>
              <a:schemeClr val="lt1"/>
            </a:solidFill>
          </a:ln>
          <a:effectLst/>
        </c:spPr>
      </c:pivotFmt>
      <c:pivotFmt>
        <c:idx val="14"/>
        <c:spPr>
          <a:solidFill>
            <a:srgbClr val="43682A"/>
          </a:solidFill>
          <a:ln w="19050">
            <a:solidFill>
              <a:schemeClr val="lt1"/>
            </a:solidFill>
          </a:ln>
          <a:effectLst/>
        </c:spPr>
      </c:pivotFmt>
    </c:pivotFmts>
    <c:plotArea>
      <c:layout>
        <c:manualLayout>
          <c:layoutTarget val="inner"/>
          <c:xMode val="edge"/>
          <c:yMode val="edge"/>
          <c:x val="7.6240110273985556E-2"/>
          <c:y val="0.20966200753992545"/>
          <c:w val="0.40975219824140685"/>
          <c:h val="0.70752227547159308"/>
        </c:manualLayout>
      </c:layout>
      <c:doughnutChart>
        <c:varyColors val="1"/>
        <c:ser>
          <c:idx val="0"/>
          <c:order val="0"/>
          <c:tx>
            <c:strRef>
              <c:f>'V5'!$AF$6</c:f>
              <c:strCache>
                <c:ptCount val="1"/>
                <c:pt idx="0">
                  <c:v>Total</c:v>
                </c:pt>
              </c:strCache>
            </c:strRef>
          </c:tx>
          <c:dPt>
            <c:idx val="0"/>
            <c:bubble3D val="0"/>
            <c:spPr>
              <a:solidFill>
                <a:srgbClr val="273C18"/>
              </a:solidFill>
              <a:ln w="19050">
                <a:solidFill>
                  <a:schemeClr val="lt1"/>
                </a:solidFill>
              </a:ln>
              <a:effectLst/>
            </c:spPr>
            <c:extLst>
              <c:ext xmlns:c16="http://schemas.microsoft.com/office/drawing/2014/chart" uri="{C3380CC4-5D6E-409C-BE32-E72D297353CC}">
                <c16:uniqueId val="{00000001-B480-4047-BBE6-32D38F262854}"/>
              </c:ext>
            </c:extLst>
          </c:dPt>
          <c:dPt>
            <c:idx val="1"/>
            <c:bubble3D val="0"/>
            <c:spPr>
              <a:solidFill>
                <a:srgbClr val="8BC266"/>
              </a:solidFill>
              <a:ln w="19050">
                <a:solidFill>
                  <a:schemeClr val="lt1"/>
                </a:solidFill>
              </a:ln>
              <a:effectLst/>
            </c:spPr>
            <c:extLst>
              <c:ext xmlns:c16="http://schemas.microsoft.com/office/drawing/2014/chart" uri="{C3380CC4-5D6E-409C-BE32-E72D297353CC}">
                <c16:uniqueId val="{00000003-B480-4047-BBE6-32D38F262854}"/>
              </c:ext>
            </c:extLst>
          </c:dPt>
          <c:dPt>
            <c:idx val="2"/>
            <c:bubble3D val="0"/>
            <c:spPr>
              <a:solidFill>
                <a:srgbClr val="5A8C38"/>
              </a:solidFill>
              <a:ln w="19050">
                <a:solidFill>
                  <a:schemeClr val="lt1"/>
                </a:solidFill>
              </a:ln>
              <a:effectLst/>
            </c:spPr>
            <c:extLst>
              <c:ext xmlns:c16="http://schemas.microsoft.com/office/drawing/2014/chart" uri="{C3380CC4-5D6E-409C-BE32-E72D297353CC}">
                <c16:uniqueId val="{00000005-B480-4047-BBE6-32D38F262854}"/>
              </c:ext>
            </c:extLst>
          </c:dPt>
          <c:dPt>
            <c:idx val="3"/>
            <c:bubble3D val="0"/>
            <c:spPr>
              <a:solidFill>
                <a:srgbClr val="324D1F"/>
              </a:solidFill>
              <a:ln w="19050">
                <a:solidFill>
                  <a:schemeClr val="lt1"/>
                </a:solidFill>
              </a:ln>
              <a:effectLst/>
            </c:spPr>
            <c:extLst>
              <c:ext xmlns:c16="http://schemas.microsoft.com/office/drawing/2014/chart" uri="{C3380CC4-5D6E-409C-BE32-E72D297353CC}">
                <c16:uniqueId val="{00000007-B480-4047-BBE6-32D38F262854}"/>
              </c:ext>
            </c:extLst>
          </c:dPt>
          <c:dPt>
            <c:idx val="4"/>
            <c:bubble3D val="0"/>
            <c:spPr>
              <a:solidFill>
                <a:srgbClr val="6BA743"/>
              </a:solidFill>
              <a:ln w="19050">
                <a:solidFill>
                  <a:schemeClr val="lt1"/>
                </a:solidFill>
              </a:ln>
              <a:effectLst/>
            </c:spPr>
            <c:extLst>
              <c:ext xmlns:c16="http://schemas.microsoft.com/office/drawing/2014/chart" uri="{C3380CC4-5D6E-409C-BE32-E72D297353CC}">
                <c16:uniqueId val="{00000009-B480-4047-BBE6-32D38F262854}"/>
              </c:ext>
            </c:extLst>
          </c:dPt>
          <c:dPt>
            <c:idx val="5"/>
            <c:bubble3D val="0"/>
            <c:spPr>
              <a:solidFill>
                <a:srgbClr val="43682A"/>
              </a:solidFill>
              <a:ln w="19050">
                <a:solidFill>
                  <a:schemeClr val="lt1"/>
                </a:solidFill>
              </a:ln>
              <a:effectLst/>
            </c:spPr>
            <c:extLst>
              <c:ext xmlns:c16="http://schemas.microsoft.com/office/drawing/2014/chart" uri="{C3380CC4-5D6E-409C-BE32-E72D297353CC}">
                <c16:uniqueId val="{0000000B-B480-4047-BBE6-32D38F2628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'V5'!$AE$7:$AE$13</c:f>
              <c:strCache>
                <c:ptCount val="6"/>
                <c:pt idx="0">
                  <c:v>Chocolate Chip</c:v>
                </c:pt>
                <c:pt idx="1">
                  <c:v>Fortune Cookie</c:v>
                </c:pt>
                <c:pt idx="2">
                  <c:v>Oatmeal Raisin</c:v>
                </c:pt>
                <c:pt idx="3">
                  <c:v>Snickerdoodle</c:v>
                </c:pt>
                <c:pt idx="4">
                  <c:v>Sugar</c:v>
                </c:pt>
                <c:pt idx="5">
                  <c:v>White Chocolate Macadamia Nut</c:v>
                </c:pt>
              </c:strCache>
            </c:strRef>
          </c:cat>
          <c:val>
            <c:numRef>
              <c:f>'V5'!$AF$7:$AF$13</c:f>
              <c:numCache>
                <c:formatCode>_("$"* #,##0.00_);_("$"* \(#,##0.00\);_("$"* "-"??_);_(@_)</c:formatCode>
                <c:ptCount val="6"/>
                <c:pt idx="0">
                  <c:v>1014718.5</c:v>
                </c:pt>
                <c:pt idx="1">
                  <c:v>77099</c:v>
                </c:pt>
                <c:pt idx="2">
                  <c:v>434882.00000000012</c:v>
                </c:pt>
                <c:pt idx="3">
                  <c:v>367115</c:v>
                </c:pt>
                <c:pt idx="4">
                  <c:v>295370.29000000004</c:v>
                </c:pt>
                <c:pt idx="5">
                  <c:v>527879.64</c:v>
                </c:pt>
              </c:numCache>
            </c:numRef>
          </c:val>
          <c:extLst>
            <c:ext xmlns:c16="http://schemas.microsoft.com/office/drawing/2014/chart" uri="{C3380CC4-5D6E-409C-BE32-E72D297353CC}">
              <c16:uniqueId val="{0000000C-B480-4047-BBE6-32D38F26285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346535813370431"/>
          <c:y val="0.16186218229059188"/>
          <c:w val="0.29726876451978795"/>
          <c:h val="0.8037292233275820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[Wholeseller Cookies Sales Dataset.xlsx]V5!PT9</c:name>
    <c:fmtId val="1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Profit</a:t>
            </a:r>
            <a:r>
              <a:rPr lang="en-US" baseline="0">
                <a:solidFill>
                  <a:schemeClr val="tx1"/>
                </a:solidFill>
              </a:rPr>
              <a:t> Margin by Retailers</a:t>
            </a:r>
            <a:endParaRPr lang="en-US">
              <a:solidFill>
                <a:schemeClr val="tx1"/>
              </a:solidFill>
            </a:endParaRPr>
          </a:p>
        </c:rich>
      </c:tx>
      <c:layout>
        <c:manualLayout>
          <c:xMode val="edge"/>
          <c:yMode val="edge"/>
          <c:x val="0.21363282221301286"/>
          <c:y val="1.711228985793655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39"/>
        <c:spPr>
          <a:solidFill>
            <a:srgbClr val="6BA743"/>
          </a:solidFill>
          <a:ln>
            <a:noFill/>
          </a:ln>
          <a:effectLst>
            <a:outerShdw blurRad="57150" dist="19050" dir="5400000" algn="ctr" rotWithShape="0">
              <a:srgbClr val="000000">
                <a:alpha val="63000"/>
              </a:srgbClr>
            </a:outerShdw>
          </a:effectLst>
        </c:spPr>
      </c:pivotFmt>
      <c:pivotFmt>
        <c:idx val="40"/>
        <c:spPr>
          <a:solidFill>
            <a:schemeClr val="accent6">
              <a:lumMod val="75000"/>
            </a:schemeClr>
          </a:solidFill>
          <a:ln>
            <a:noFill/>
          </a:ln>
          <a:effectLst>
            <a:outerShdw blurRad="57150" dist="19050" dir="5400000" algn="ctr" rotWithShape="0">
              <a:srgbClr val="000000">
                <a:alpha val="63000"/>
              </a:srgbClr>
            </a:outerShdw>
          </a:effectLst>
        </c:spPr>
      </c:pivotFmt>
      <c:pivotFmt>
        <c:idx val="41"/>
        <c:spPr>
          <a:solidFill>
            <a:schemeClr val="accent6">
              <a:lumMod val="75000"/>
            </a:schemeClr>
          </a:solidFill>
          <a:ln>
            <a:noFill/>
          </a:ln>
          <a:effectLst>
            <a:outerShdw blurRad="57150" dist="19050" dir="5400000" algn="ctr" rotWithShape="0">
              <a:srgbClr val="000000">
                <a:alpha val="63000"/>
              </a:srgbClr>
            </a:outerShdw>
          </a:effectLst>
        </c:spPr>
      </c:pivotFmt>
      <c:pivotFmt>
        <c:idx val="42"/>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5198342312474097"/>
          <c:y val="0.18953179326638131"/>
          <c:w val="0.44445724547589444"/>
          <c:h val="0.69646893493109618"/>
        </c:manualLayout>
      </c:layout>
      <c:doughnutChart>
        <c:varyColors val="0"/>
        <c:ser>
          <c:idx val="0"/>
          <c:order val="0"/>
          <c:tx>
            <c:strRef>
              <c:f>'V5'!$AC$6</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c:spPr>
          <c:dPt>
            <c:idx val="0"/>
            <c:bubble3D val="0"/>
            <c:explosion val="5"/>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03-480E-B89C-191C42AF19DF}"/>
              </c:ext>
            </c:extLst>
          </c:dPt>
          <c:dPt>
            <c:idx val="1"/>
            <c:bubble3D val="0"/>
            <c:explosion val="5"/>
            <c:spPr>
              <a:solidFill>
                <a:srgbClr val="6BA74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03-480E-B89C-191C42AF19DF}"/>
              </c:ext>
            </c:extLst>
          </c:dPt>
          <c:dPt>
            <c:idx val="2"/>
            <c:bubble3D val="0"/>
            <c:explosion val="5"/>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03-480E-B89C-191C42AF19DF}"/>
              </c:ext>
            </c:extLst>
          </c:dPt>
          <c:dPt>
            <c:idx val="3"/>
            <c:bubble3D val="0"/>
            <c:explosion val="5"/>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903-480E-B89C-191C42AF19DF}"/>
              </c:ext>
            </c:extLst>
          </c:dPt>
          <c:dPt>
            <c:idx val="4"/>
            <c:bubble3D val="0"/>
            <c:explosion val="5"/>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903-480E-B89C-191C42AF19DF}"/>
              </c:ext>
            </c:extLst>
          </c:dPt>
          <c:dPt>
            <c:idx val="5"/>
            <c:bubble3D val="0"/>
            <c:extLst>
              <c:ext xmlns:c16="http://schemas.microsoft.com/office/drawing/2014/chart" uri="{C3380CC4-5D6E-409C-BE32-E72D297353CC}">
                <c16:uniqueId val="{0000000B-D903-480E-B89C-191C42AF19D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'V5'!$AB$7:$AB$12</c:f>
              <c:strCache>
                <c:ptCount val="5"/>
                <c:pt idx="0">
                  <c:v>1</c:v>
                </c:pt>
                <c:pt idx="1">
                  <c:v>2</c:v>
                </c:pt>
                <c:pt idx="2">
                  <c:v>3</c:v>
                </c:pt>
                <c:pt idx="3">
                  <c:v>4</c:v>
                </c:pt>
                <c:pt idx="4">
                  <c:v>5</c:v>
                </c:pt>
              </c:strCache>
            </c:strRef>
          </c:cat>
          <c:val>
            <c:numRef>
              <c:f>'V5'!$AC$7:$AC$12</c:f>
              <c:numCache>
                <c:formatCode>0.00</c:formatCode>
                <c:ptCount val="5"/>
                <c:pt idx="0">
                  <c:v>57.273695652173913</c:v>
                </c:pt>
                <c:pt idx="1">
                  <c:v>57.124848484848485</c:v>
                </c:pt>
                <c:pt idx="2">
                  <c:v>57.320485436893208</c:v>
                </c:pt>
                <c:pt idx="3">
                  <c:v>57.232051282051273</c:v>
                </c:pt>
                <c:pt idx="4">
                  <c:v>57.57122807017543</c:v>
                </c:pt>
              </c:numCache>
            </c:numRef>
          </c:val>
          <c:extLst>
            <c:ext xmlns:c16="http://schemas.microsoft.com/office/drawing/2014/chart" uri="{C3380CC4-5D6E-409C-BE32-E72D297353CC}">
              <c16:uniqueId val="{0000000C-D903-480E-B89C-191C42AF19D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4053847216466349"/>
          <c:y val="0.15403281564351745"/>
          <c:w val="6.8233457659897773E-2"/>
          <c:h val="0.7773226663803520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[Wholeseller Cookies Sales Dataset.xlsx]V5!PT11</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132108486439195E-3"/>
          <c:y val="0.19096612911825672"/>
          <c:w val="0.98131313131313136"/>
          <c:h val="0.69622750391282462"/>
        </c:manualLayout>
      </c:layout>
      <c:barChart>
        <c:barDir val="col"/>
        <c:grouping val="clustered"/>
        <c:varyColors val="0"/>
        <c:ser>
          <c:idx val="0"/>
          <c:order val="0"/>
          <c:tx>
            <c:strRef>
              <c:f>'V5'!$AI$6</c:f>
              <c:strCache>
                <c:ptCount val="1"/>
                <c:pt idx="0">
                  <c:v>Units Sold by Retailers</c:v>
                </c:pt>
              </c:strCache>
            </c:strRef>
          </c:tx>
          <c:spPr>
            <a:solidFill>
              <a:schemeClr val="accent2">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'V5'!$AH$7:$AH$12</c:f>
              <c:strCache>
                <c:ptCount val="5"/>
                <c:pt idx="0">
                  <c:v>1</c:v>
                </c:pt>
                <c:pt idx="1">
                  <c:v>2</c:v>
                </c:pt>
                <c:pt idx="2">
                  <c:v>3</c:v>
                </c:pt>
                <c:pt idx="3">
                  <c:v>4</c:v>
                </c:pt>
                <c:pt idx="4">
                  <c:v>5</c:v>
                </c:pt>
              </c:strCache>
            </c:strRef>
          </c:cat>
          <c:val>
            <c:numRef>
              <c:f>'V5'!$AI$7:$AI$12</c:f>
              <c:numCache>
                <c:formatCode>0.00,"K"</c:formatCode>
                <c:ptCount val="5"/>
                <c:pt idx="0">
                  <c:v>128772</c:v>
                </c:pt>
                <c:pt idx="1">
                  <c:v>221026</c:v>
                </c:pt>
                <c:pt idx="2">
                  <c:v>329681</c:v>
                </c:pt>
                <c:pt idx="3">
                  <c:v>266896</c:v>
                </c:pt>
                <c:pt idx="4">
                  <c:v>179449</c:v>
                </c:pt>
              </c:numCache>
            </c:numRef>
          </c:val>
          <c:extLst>
            <c:ext xmlns:c16="http://schemas.microsoft.com/office/drawing/2014/chart" uri="{C3380CC4-5D6E-409C-BE32-E72D297353CC}">
              <c16:uniqueId val="{00000000-80F7-4B65-BC23-21E5E371DC3A}"/>
            </c:ext>
          </c:extLst>
        </c:ser>
        <c:ser>
          <c:idx val="1"/>
          <c:order val="1"/>
          <c:tx>
            <c:strRef>
              <c:f>'V5'!$AJ$6</c:f>
              <c:strCache>
                <c:ptCount val="1"/>
                <c:pt idx="0">
                  <c:v>Profit by Retailers</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'V5'!$AH$7:$AH$12</c:f>
              <c:strCache>
                <c:ptCount val="5"/>
                <c:pt idx="0">
                  <c:v>1</c:v>
                </c:pt>
                <c:pt idx="1">
                  <c:v>2</c:v>
                </c:pt>
                <c:pt idx="2">
                  <c:v>3</c:v>
                </c:pt>
                <c:pt idx="3">
                  <c:v>4</c:v>
                </c:pt>
                <c:pt idx="4">
                  <c:v>5</c:v>
                </c:pt>
              </c:strCache>
            </c:strRef>
          </c:cat>
          <c:val>
            <c:numRef>
              <c:f>'V5'!$AJ$7:$AJ$12</c:f>
              <c:numCache>
                <c:formatCode>0.00,"K"</c:formatCode>
                <c:ptCount val="5"/>
                <c:pt idx="0">
                  <c:v>302197.39000000007</c:v>
                </c:pt>
                <c:pt idx="1">
                  <c:v>523315.44</c:v>
                </c:pt>
                <c:pt idx="2">
                  <c:v>828377.41000000015</c:v>
                </c:pt>
                <c:pt idx="3">
                  <c:v>639674.56000000006</c:v>
                </c:pt>
                <c:pt idx="4">
                  <c:v>423499.62999999995</c:v>
                </c:pt>
              </c:numCache>
            </c:numRef>
          </c:val>
          <c:extLst>
            <c:ext xmlns:c16="http://schemas.microsoft.com/office/drawing/2014/chart" uri="{C3380CC4-5D6E-409C-BE32-E72D297353CC}">
              <c16:uniqueId val="{00000001-80F7-4B65-BC23-21E5E371DC3A}"/>
            </c:ext>
          </c:extLst>
        </c:ser>
        <c:dLbls>
          <c:dLblPos val="outEnd"/>
          <c:showLegendKey val="0"/>
          <c:showVal val="1"/>
          <c:showCatName val="0"/>
          <c:showSerName val="0"/>
          <c:showPercent val="0"/>
          <c:showBubbleSize val="0"/>
        </c:dLbls>
        <c:gapWidth val="96"/>
        <c:overlap val="-3"/>
        <c:axId val="1995951087"/>
        <c:axId val="1995949167"/>
      </c:barChart>
      <c:catAx>
        <c:axId val="19959510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949167"/>
        <c:crosses val="autoZero"/>
        <c:auto val="1"/>
        <c:lblAlgn val="ctr"/>
        <c:lblOffset val="100"/>
        <c:noMultiLvlLbl val="0"/>
      </c:catAx>
      <c:valAx>
        <c:axId val="1995949167"/>
        <c:scaling>
          <c:orientation val="minMax"/>
        </c:scaling>
        <c:delete val="1"/>
        <c:axPos val="l"/>
        <c:numFmt formatCode="0.00,&quot;K&quot;" sourceLinked="1"/>
        <c:majorTickMark val="none"/>
        <c:minorTickMark val="none"/>
        <c:tickLblPos val="nextTo"/>
        <c:crossAx val="1995951087"/>
        <c:crosses val="autoZero"/>
        <c:crossBetween val="between"/>
      </c:valAx>
      <c:spPr>
        <a:noFill/>
        <a:ln>
          <a:noFill/>
        </a:ln>
        <a:effectLst/>
      </c:spPr>
    </c:plotArea>
    <c:legend>
      <c:legendPos val="t"/>
      <c:layout>
        <c:manualLayout>
          <c:xMode val="edge"/>
          <c:yMode val="edge"/>
          <c:x val="0.22814491370396883"/>
          <c:y val="1.1985015899020107E-2"/>
          <c:w val="0.50582963493199717"/>
          <c:h val="0.1156294516194634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Units Sold</cx:v>
        </cx:txData>
      </cx:tx>
      <cx:txPr>
        <a:bodyPr spcFirstLastPara="1" vertOverflow="ellipsis" horzOverflow="overflow" wrap="square" lIns="0" tIns="0" rIns="0" bIns="0" anchor="ctr" anchorCtr="1"/>
        <a:lstStyle/>
        <a:p>
          <a:pPr algn="ctr" rtl="0">
            <a:defRPr/>
          </a:pPr>
          <a:r>
            <a:rPr lang="en-US" sz="1600" b="1" i="0" u="none" strike="noStrike" baseline="0">
              <a:solidFill>
                <a:srgbClr val="44546A"/>
              </a:solidFill>
              <a:latin typeface="Calibri" panose="020F0502020204030204"/>
            </a:rPr>
            <a:t>Units Sold</a:t>
          </a:r>
        </a:p>
      </cx:txPr>
    </cx:title>
    <cx:plotArea>
      <cx:plotAreaRegion>
        <cx:series layoutId="treemap" uniqueId="{0300805B-F5A8-42F2-91DE-F56FF54B43B5}">
          <cx:tx>
            <cx:txData>
              <cx:f>_xlchart.v1.1</cx:f>
              <cx:v>Sum of Units Sold</cx:v>
            </cx:txData>
          </cx:tx>
          <cx:dataPt idx="0">
            <cx:spPr>
              <a:solidFill>
                <a:srgbClr val="391A05"/>
              </a:solidFill>
            </cx:spPr>
          </cx:dataPt>
          <cx:dataPt idx="1">
            <cx:spPr>
              <a:solidFill>
                <a:srgbClr val="F09252"/>
              </a:solidFill>
            </cx:spPr>
          </cx:dataPt>
          <cx:dataPt idx="2">
            <cx:spPr>
              <a:solidFill>
                <a:srgbClr val="DA6414"/>
              </a:solidFill>
            </cx:spPr>
          </cx:dataPt>
          <cx:dataPt idx="3">
            <cx:spPr>
              <a:solidFill>
                <a:srgbClr val="F2A36E"/>
              </a:solidFill>
            </cx:spPr>
          </cx:dataPt>
          <cx:dataPt idx="4">
            <cx:spPr>
              <a:solidFill>
                <a:srgbClr val="70330A"/>
              </a:solidFill>
            </cx:spPr>
          </cx:dataPt>
          <cx:dataPt idx="5">
            <cx:spPr>
              <a:solidFill>
                <a:srgbClr val="BB5611"/>
              </a:solidFill>
            </cx:spPr>
          </cx:dataPt>
          <cx:dataLabels pos="inEnd">
            <cx:visibility seriesName="0" categoryName="1" value="1"/>
            <cx:separator>
</cx:separator>
          </cx:dataLabels>
          <cx:dataId val="0"/>
          <cx:layoutPr>
            <cx:parentLabelLayout val="banner"/>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11907</xdr:colOff>
      <xdr:row>0</xdr:row>
      <xdr:rowOff>23813</xdr:rowOff>
    </xdr:from>
    <xdr:to>
      <xdr:col>25</xdr:col>
      <xdr:colOff>571501</xdr:colOff>
      <xdr:row>27</xdr:row>
      <xdr:rowOff>35720</xdr:rowOff>
    </xdr:to>
    <xdr:sp macro="" textlink="">
      <xdr:nvSpPr>
        <xdr:cNvPr id="2" name="Rectangle: Rounded Corners 1">
          <a:extLst>
            <a:ext uri="{FF2B5EF4-FFF2-40B4-BE49-F238E27FC236}">
              <a16:creationId xmlns:a16="http://schemas.microsoft.com/office/drawing/2014/main" id="{A22F5EDE-FBDD-6D13-05D8-55141DD8A370}"/>
            </a:ext>
          </a:extLst>
        </xdr:cNvPr>
        <xdr:cNvSpPr/>
      </xdr:nvSpPr>
      <xdr:spPr>
        <a:xfrm>
          <a:off x="11907" y="23813"/>
          <a:ext cx="15740063" cy="5155407"/>
        </a:xfrm>
        <a:prstGeom prst="roundRect">
          <a:avLst>
            <a:gd name="adj" fmla="val 3171"/>
          </a:avLst>
        </a:prstGeom>
        <a:solidFill>
          <a:srgbClr val="F4B183"/>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273844</xdr:colOff>
      <xdr:row>0</xdr:row>
      <xdr:rowOff>59531</xdr:rowOff>
    </xdr:from>
    <xdr:to>
      <xdr:col>14</xdr:col>
      <xdr:colOff>95249</xdr:colOff>
      <xdr:row>2</xdr:row>
      <xdr:rowOff>178593</xdr:rowOff>
    </xdr:to>
    <xdr:sp macro="" textlink="">
      <xdr:nvSpPr>
        <xdr:cNvPr id="3" name="Rectangle: Rounded Corners 2">
          <a:extLst>
            <a:ext uri="{FF2B5EF4-FFF2-40B4-BE49-F238E27FC236}">
              <a16:creationId xmlns:a16="http://schemas.microsoft.com/office/drawing/2014/main" id="{F4DD592C-A016-9D99-0CFC-9249868C6116}"/>
            </a:ext>
          </a:extLst>
        </xdr:cNvPr>
        <xdr:cNvSpPr/>
      </xdr:nvSpPr>
      <xdr:spPr>
        <a:xfrm>
          <a:off x="5131594" y="59531"/>
          <a:ext cx="3464718" cy="500062"/>
        </a:xfrm>
        <a:prstGeom prst="roundRect">
          <a:avLst>
            <a:gd name="adj" fmla="val 21429"/>
          </a:avLst>
        </a:prstGeom>
        <a:solidFill>
          <a:schemeClr val="accent3">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71439</xdr:colOff>
      <xdr:row>0</xdr:row>
      <xdr:rowOff>95250</xdr:rowOff>
    </xdr:from>
    <xdr:to>
      <xdr:col>2</xdr:col>
      <xdr:colOff>320041</xdr:colOff>
      <xdr:row>6</xdr:row>
      <xdr:rowOff>49530</xdr:rowOff>
    </xdr:to>
    <xdr:sp macro="" textlink="">
      <xdr:nvSpPr>
        <xdr:cNvPr id="5" name="Rectangle: Rounded Corners 4">
          <a:extLst>
            <a:ext uri="{FF2B5EF4-FFF2-40B4-BE49-F238E27FC236}">
              <a16:creationId xmlns:a16="http://schemas.microsoft.com/office/drawing/2014/main" id="{79A91486-5F12-43C8-9924-7A3C2A70442A}"/>
            </a:ext>
          </a:extLst>
        </xdr:cNvPr>
        <xdr:cNvSpPr/>
      </xdr:nvSpPr>
      <xdr:spPr>
        <a:xfrm>
          <a:off x="71439" y="95250"/>
          <a:ext cx="1463040" cy="1097280"/>
        </a:xfrm>
        <a:prstGeom prst="roundRect">
          <a:avLst>
            <a:gd name="adj" fmla="val 0"/>
          </a:avLst>
        </a:prstGeom>
        <a:solidFill>
          <a:schemeClr val="accent3">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71437</xdr:colOff>
      <xdr:row>7</xdr:row>
      <xdr:rowOff>35719</xdr:rowOff>
    </xdr:from>
    <xdr:to>
      <xdr:col>2</xdr:col>
      <xdr:colOff>320039</xdr:colOff>
      <xdr:row>12</xdr:row>
      <xdr:rowOff>180499</xdr:rowOff>
    </xdr:to>
    <xdr:sp macro="" textlink="">
      <xdr:nvSpPr>
        <xdr:cNvPr id="7" name="Rectangle: Rounded Corners 6">
          <a:extLst>
            <a:ext uri="{FF2B5EF4-FFF2-40B4-BE49-F238E27FC236}">
              <a16:creationId xmlns:a16="http://schemas.microsoft.com/office/drawing/2014/main" id="{3375C740-52A2-4547-A84F-88DB0B92F366}"/>
            </a:ext>
          </a:extLst>
        </xdr:cNvPr>
        <xdr:cNvSpPr/>
      </xdr:nvSpPr>
      <xdr:spPr>
        <a:xfrm>
          <a:off x="71437" y="1369219"/>
          <a:ext cx="1463040" cy="1097280"/>
        </a:xfrm>
        <a:prstGeom prst="roundRect">
          <a:avLst>
            <a:gd name="adj" fmla="val 1476"/>
          </a:avLst>
        </a:prstGeom>
        <a:solidFill>
          <a:schemeClr val="accent3">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69057</xdr:colOff>
      <xdr:row>14</xdr:row>
      <xdr:rowOff>9525</xdr:rowOff>
    </xdr:from>
    <xdr:to>
      <xdr:col>2</xdr:col>
      <xdr:colOff>317659</xdr:colOff>
      <xdr:row>19</xdr:row>
      <xdr:rowOff>154305</xdr:rowOff>
    </xdr:to>
    <xdr:sp macro="" textlink="">
      <xdr:nvSpPr>
        <xdr:cNvPr id="10" name="Rectangle: Rounded Corners 9">
          <a:extLst>
            <a:ext uri="{FF2B5EF4-FFF2-40B4-BE49-F238E27FC236}">
              <a16:creationId xmlns:a16="http://schemas.microsoft.com/office/drawing/2014/main" id="{DD8B7F8F-4E8A-448F-8B77-0E999CE95A93}"/>
            </a:ext>
          </a:extLst>
        </xdr:cNvPr>
        <xdr:cNvSpPr/>
      </xdr:nvSpPr>
      <xdr:spPr>
        <a:xfrm>
          <a:off x="69057" y="2676525"/>
          <a:ext cx="1463040" cy="1097280"/>
        </a:xfrm>
        <a:prstGeom prst="roundRect">
          <a:avLst>
            <a:gd name="adj" fmla="val 0"/>
          </a:avLst>
        </a:prstGeom>
        <a:solidFill>
          <a:schemeClr val="accent3">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59530</xdr:colOff>
      <xdr:row>21</xdr:row>
      <xdr:rowOff>11906</xdr:rowOff>
    </xdr:from>
    <xdr:to>
      <xdr:col>2</xdr:col>
      <xdr:colOff>308132</xdr:colOff>
      <xdr:row>26</xdr:row>
      <xdr:rowOff>156686</xdr:rowOff>
    </xdr:to>
    <xdr:sp macro="" textlink="">
      <xdr:nvSpPr>
        <xdr:cNvPr id="12" name="Rectangle: Rounded Corners 11">
          <a:extLst>
            <a:ext uri="{FF2B5EF4-FFF2-40B4-BE49-F238E27FC236}">
              <a16:creationId xmlns:a16="http://schemas.microsoft.com/office/drawing/2014/main" id="{301DCDA0-2D7E-4305-8FA1-EC755CED9EA8}"/>
            </a:ext>
          </a:extLst>
        </xdr:cNvPr>
        <xdr:cNvSpPr/>
      </xdr:nvSpPr>
      <xdr:spPr>
        <a:xfrm>
          <a:off x="59530" y="4012406"/>
          <a:ext cx="1463040" cy="1097280"/>
        </a:xfrm>
        <a:prstGeom prst="roundRect">
          <a:avLst>
            <a:gd name="adj" fmla="val 2561"/>
          </a:avLst>
        </a:prstGeom>
        <a:solidFill>
          <a:schemeClr val="accent3">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83343</xdr:colOff>
      <xdr:row>0</xdr:row>
      <xdr:rowOff>107156</xdr:rowOff>
    </xdr:from>
    <xdr:to>
      <xdr:col>2</xdr:col>
      <xdr:colOff>322801</xdr:colOff>
      <xdr:row>1</xdr:row>
      <xdr:rowOff>130969</xdr:rowOff>
    </xdr:to>
    <xdr:sp macro="" textlink="">
      <xdr:nvSpPr>
        <xdr:cNvPr id="13" name="TextBox 12">
          <a:extLst>
            <a:ext uri="{FF2B5EF4-FFF2-40B4-BE49-F238E27FC236}">
              <a16:creationId xmlns:a16="http://schemas.microsoft.com/office/drawing/2014/main" id="{EA5D3699-3079-31F8-A79A-507453DA7E2A}"/>
            </a:ext>
          </a:extLst>
        </xdr:cNvPr>
        <xdr:cNvSpPr txBox="1"/>
      </xdr:nvSpPr>
      <xdr:spPr>
        <a:xfrm>
          <a:off x="83343" y="107156"/>
          <a:ext cx="1453896" cy="214313"/>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ysClr val="windowText" lastClr="000000"/>
              </a:solidFill>
              <a:latin typeface="Times New Roman" panose="02020603050405020304" pitchFamily="18" charset="0"/>
              <a:cs typeface="Times New Roman" panose="02020603050405020304" pitchFamily="18" charset="0"/>
            </a:rPr>
            <a:t>Profit Margin</a:t>
          </a:r>
          <a:endParaRPr lang="en-IN"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366710</xdr:colOff>
      <xdr:row>3</xdr:row>
      <xdr:rowOff>35718</xdr:rowOff>
    </xdr:from>
    <xdr:to>
      <xdr:col>8</xdr:col>
      <xdr:colOff>464343</xdr:colOff>
      <xdr:row>14</xdr:row>
      <xdr:rowOff>119062</xdr:rowOff>
    </xdr:to>
    <xdr:sp macro="" textlink="">
      <xdr:nvSpPr>
        <xdr:cNvPr id="18" name="Rectangle: Rounded Corners 17">
          <a:extLst>
            <a:ext uri="{FF2B5EF4-FFF2-40B4-BE49-F238E27FC236}">
              <a16:creationId xmlns:a16="http://schemas.microsoft.com/office/drawing/2014/main" id="{1C780E23-DDA5-455A-BBA1-5ECFD11492A3}"/>
            </a:ext>
          </a:extLst>
        </xdr:cNvPr>
        <xdr:cNvSpPr/>
      </xdr:nvSpPr>
      <xdr:spPr>
        <a:xfrm>
          <a:off x="1581148" y="607218"/>
          <a:ext cx="3740945" cy="2178844"/>
        </a:xfrm>
        <a:prstGeom prst="roundRect">
          <a:avLst>
            <a:gd name="adj" fmla="val 8403"/>
          </a:avLst>
        </a:prstGeom>
        <a:solidFill>
          <a:schemeClr val="accent2">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571499</xdr:colOff>
      <xdr:row>3</xdr:row>
      <xdr:rowOff>47624</xdr:rowOff>
    </xdr:from>
    <xdr:to>
      <xdr:col>19</xdr:col>
      <xdr:colOff>321469</xdr:colOff>
      <xdr:row>14</xdr:row>
      <xdr:rowOff>119252</xdr:rowOff>
    </xdr:to>
    <xdr:sp macro="" textlink="">
      <xdr:nvSpPr>
        <xdr:cNvPr id="24" name="Rectangle: Rounded Corners 23">
          <a:extLst>
            <a:ext uri="{FF2B5EF4-FFF2-40B4-BE49-F238E27FC236}">
              <a16:creationId xmlns:a16="http://schemas.microsoft.com/office/drawing/2014/main" id="{33017B74-1DB9-450A-BEBA-40D2EAC06FD6}"/>
            </a:ext>
          </a:extLst>
        </xdr:cNvPr>
        <xdr:cNvSpPr/>
      </xdr:nvSpPr>
      <xdr:spPr>
        <a:xfrm>
          <a:off x="5429249" y="619124"/>
          <a:ext cx="6429376" cy="2167128"/>
        </a:xfrm>
        <a:prstGeom prst="roundRect">
          <a:avLst>
            <a:gd name="adj" fmla="val 8403"/>
          </a:avLst>
        </a:prstGeom>
        <a:solidFill>
          <a:schemeClr val="accent2">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83343</xdr:colOff>
      <xdr:row>7</xdr:row>
      <xdr:rowOff>47628</xdr:rowOff>
    </xdr:from>
    <xdr:to>
      <xdr:col>2</xdr:col>
      <xdr:colOff>322801</xdr:colOff>
      <xdr:row>8</xdr:row>
      <xdr:rowOff>67440</xdr:rowOff>
    </xdr:to>
    <xdr:sp macro="" textlink="">
      <xdr:nvSpPr>
        <xdr:cNvPr id="33" name="TextBox 32">
          <a:extLst>
            <a:ext uri="{FF2B5EF4-FFF2-40B4-BE49-F238E27FC236}">
              <a16:creationId xmlns:a16="http://schemas.microsoft.com/office/drawing/2014/main" id="{CCAFD94B-6F21-4526-B493-E321A92AC6F3}"/>
            </a:ext>
          </a:extLst>
        </xdr:cNvPr>
        <xdr:cNvSpPr txBox="1"/>
      </xdr:nvSpPr>
      <xdr:spPr>
        <a:xfrm>
          <a:off x="83343" y="1381128"/>
          <a:ext cx="1453896" cy="210312"/>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Times New Roman" panose="02020603050405020304" pitchFamily="18" charset="0"/>
              <a:cs typeface="Times New Roman" panose="02020603050405020304" pitchFamily="18" charset="0"/>
            </a:rPr>
            <a:t>Top</a:t>
          </a:r>
          <a:r>
            <a:rPr lang="en-IN" sz="1100" b="1" baseline="0">
              <a:latin typeface="Times New Roman" panose="02020603050405020304" pitchFamily="18" charset="0"/>
              <a:cs typeface="Times New Roman" panose="02020603050405020304" pitchFamily="18" charset="0"/>
            </a:rPr>
            <a:t> Selling Product</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80963</xdr:colOff>
      <xdr:row>14</xdr:row>
      <xdr:rowOff>21430</xdr:rowOff>
    </xdr:from>
    <xdr:to>
      <xdr:col>2</xdr:col>
      <xdr:colOff>320421</xdr:colOff>
      <xdr:row>15</xdr:row>
      <xdr:rowOff>41242</xdr:rowOff>
    </xdr:to>
    <xdr:sp macro="" textlink="">
      <xdr:nvSpPr>
        <xdr:cNvPr id="35" name="TextBox 34">
          <a:extLst>
            <a:ext uri="{FF2B5EF4-FFF2-40B4-BE49-F238E27FC236}">
              <a16:creationId xmlns:a16="http://schemas.microsoft.com/office/drawing/2014/main" id="{3B9CA96E-C8B2-48B8-9DB5-3FBDF09A6062}"/>
            </a:ext>
          </a:extLst>
        </xdr:cNvPr>
        <xdr:cNvSpPr txBox="1"/>
      </xdr:nvSpPr>
      <xdr:spPr>
        <a:xfrm>
          <a:off x="80963" y="2688430"/>
          <a:ext cx="1453896" cy="210312"/>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Times New Roman" panose="02020603050405020304" pitchFamily="18" charset="0"/>
              <a:cs typeface="Times New Roman" panose="02020603050405020304" pitchFamily="18" charset="0"/>
            </a:rPr>
            <a:t>Profit / Order</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71438</xdr:colOff>
      <xdr:row>21</xdr:row>
      <xdr:rowOff>23813</xdr:rowOff>
    </xdr:from>
    <xdr:to>
      <xdr:col>2</xdr:col>
      <xdr:colOff>310896</xdr:colOff>
      <xdr:row>22</xdr:row>
      <xdr:rowOff>47625</xdr:rowOff>
    </xdr:to>
    <xdr:sp macro="" textlink="">
      <xdr:nvSpPr>
        <xdr:cNvPr id="37" name="TextBox 36">
          <a:extLst>
            <a:ext uri="{FF2B5EF4-FFF2-40B4-BE49-F238E27FC236}">
              <a16:creationId xmlns:a16="http://schemas.microsoft.com/office/drawing/2014/main" id="{2F004DCC-FE77-4A02-AA27-2CD787A6575D}"/>
            </a:ext>
          </a:extLst>
        </xdr:cNvPr>
        <xdr:cNvSpPr txBox="1"/>
      </xdr:nvSpPr>
      <xdr:spPr>
        <a:xfrm>
          <a:off x="71438" y="4024313"/>
          <a:ext cx="1453896" cy="214312"/>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Units </a:t>
          </a:r>
          <a:r>
            <a:rPr lang="en-IN" sz="1100" b="1" baseline="0"/>
            <a:t>/ Order</a:t>
          </a:r>
          <a:endParaRPr lang="en-IN" sz="1100" b="1"/>
        </a:p>
      </xdr:txBody>
    </xdr:sp>
    <xdr:clientData/>
  </xdr:twoCellAnchor>
  <xdr:twoCellAnchor>
    <xdr:from>
      <xdr:col>0</xdr:col>
      <xdr:colOff>95252</xdr:colOff>
      <xdr:row>2</xdr:row>
      <xdr:rowOff>142874</xdr:rowOff>
    </xdr:from>
    <xdr:to>
      <xdr:col>2</xdr:col>
      <xdr:colOff>369093</xdr:colOff>
      <xdr:row>5</xdr:row>
      <xdr:rowOff>11906</xdr:rowOff>
    </xdr:to>
    <xdr:sp macro="" textlink="'V5'!C9">
      <xdr:nvSpPr>
        <xdr:cNvPr id="38" name="TextBox 37">
          <a:extLst>
            <a:ext uri="{FF2B5EF4-FFF2-40B4-BE49-F238E27FC236}">
              <a16:creationId xmlns:a16="http://schemas.microsoft.com/office/drawing/2014/main" id="{CB5A887D-215A-789B-FD1E-E5DBCC6CBDA6}"/>
            </a:ext>
          </a:extLst>
        </xdr:cNvPr>
        <xdr:cNvSpPr txBox="1"/>
      </xdr:nvSpPr>
      <xdr:spPr>
        <a:xfrm>
          <a:off x="95252" y="523874"/>
          <a:ext cx="1488279" cy="44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7C79DE-8292-407A-A96D-0F9BBC2F15B2}" type="TxLink">
            <a:rPr lang="en-US" sz="3200" b="0" i="0" u="none" strike="noStrike">
              <a:solidFill>
                <a:schemeClr val="accent2">
                  <a:lumMod val="50000"/>
                </a:schemeClr>
              </a:solidFill>
              <a:latin typeface="Times New Roman" panose="02020603050405020304" pitchFamily="18" charset="0"/>
              <a:cs typeface="Times New Roman" panose="02020603050405020304" pitchFamily="18" charset="0"/>
            </a:rPr>
            <a:pPr algn="ctr"/>
            <a:t>57.3%</a:t>
          </a:fld>
          <a:endParaRPr lang="en-IN" sz="3200" b="0">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214311</xdr:colOff>
      <xdr:row>9</xdr:row>
      <xdr:rowOff>47625</xdr:rowOff>
    </xdr:from>
    <xdr:to>
      <xdr:col>2</xdr:col>
      <xdr:colOff>178593</xdr:colOff>
      <xdr:row>13</xdr:row>
      <xdr:rowOff>47624</xdr:rowOff>
    </xdr:to>
    <xdr:sp macro="" textlink="'V5'!I7">
      <xdr:nvSpPr>
        <xdr:cNvPr id="41" name="TextBox 40">
          <a:extLst>
            <a:ext uri="{FF2B5EF4-FFF2-40B4-BE49-F238E27FC236}">
              <a16:creationId xmlns:a16="http://schemas.microsoft.com/office/drawing/2014/main" id="{772F52A4-1214-4AD2-8647-A4A3F913D32E}"/>
            </a:ext>
          </a:extLst>
        </xdr:cNvPr>
        <xdr:cNvSpPr txBox="1"/>
      </xdr:nvSpPr>
      <xdr:spPr>
        <a:xfrm>
          <a:off x="214311" y="1762125"/>
          <a:ext cx="1178720"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9127A7-6FBF-4CD7-A05B-42933C3C1953}" type="TxLink">
            <a:rPr lang="en-US" sz="2000" b="1" i="0" u="none" strike="noStrike">
              <a:solidFill>
                <a:schemeClr val="accent4">
                  <a:lumMod val="50000"/>
                </a:schemeClr>
              </a:solidFill>
              <a:latin typeface="Bradley Hand ITC" panose="03070402050302030203" pitchFamily="66" charset="0"/>
              <a:cs typeface="Calibri"/>
            </a:rPr>
            <a:pPr algn="ctr"/>
            <a:t>Chocolate Chip</a:t>
          </a:fld>
          <a:endParaRPr lang="en-IN" sz="2000" b="1">
            <a:solidFill>
              <a:schemeClr val="accent4">
                <a:lumMod val="50000"/>
              </a:schemeClr>
            </a:solidFill>
            <a:latin typeface="Bradley Hand ITC" panose="03070402050302030203" pitchFamily="66" charset="0"/>
            <a:cs typeface="Times New Roman" panose="02020603050405020304" pitchFamily="18" charset="0"/>
          </a:endParaRPr>
        </a:p>
      </xdr:txBody>
    </xdr:sp>
    <xdr:clientData/>
  </xdr:twoCellAnchor>
  <xdr:twoCellAnchor>
    <xdr:from>
      <xdr:col>0</xdr:col>
      <xdr:colOff>142874</xdr:colOff>
      <xdr:row>16</xdr:row>
      <xdr:rowOff>9527</xdr:rowOff>
    </xdr:from>
    <xdr:to>
      <xdr:col>2</xdr:col>
      <xdr:colOff>190497</xdr:colOff>
      <xdr:row>18</xdr:row>
      <xdr:rowOff>23813</xdr:rowOff>
    </xdr:to>
    <xdr:sp macro="" textlink="'V5'!R7">
      <xdr:nvSpPr>
        <xdr:cNvPr id="43" name="TextBox 42">
          <a:extLst>
            <a:ext uri="{FF2B5EF4-FFF2-40B4-BE49-F238E27FC236}">
              <a16:creationId xmlns:a16="http://schemas.microsoft.com/office/drawing/2014/main" id="{5A1AA70B-B7FC-4F3B-B591-6A06D65A6E06}"/>
            </a:ext>
          </a:extLst>
        </xdr:cNvPr>
        <xdr:cNvSpPr txBox="1"/>
      </xdr:nvSpPr>
      <xdr:spPr>
        <a:xfrm>
          <a:off x="142874" y="3057527"/>
          <a:ext cx="1262061" cy="39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65AA97-AA1F-425C-963D-AC740E366D04}" type="TxLink">
            <a:rPr lang="en-US" sz="3200" b="0" i="0" u="none" strike="noStrike">
              <a:solidFill>
                <a:schemeClr val="accent2">
                  <a:lumMod val="50000"/>
                </a:schemeClr>
              </a:solidFill>
              <a:latin typeface="Times New Roman" panose="02020603050405020304" pitchFamily="18" charset="0"/>
              <a:cs typeface="Times New Roman" panose="02020603050405020304" pitchFamily="18" charset="0"/>
            </a:rPr>
            <a:pPr algn="ctr"/>
            <a:t>3.88K</a:t>
          </a:fld>
          <a:endParaRPr lang="en-US" sz="3200" b="0" i="0" u="none" strike="noStrike">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59531</xdr:colOff>
      <xdr:row>23</xdr:row>
      <xdr:rowOff>35719</xdr:rowOff>
    </xdr:from>
    <xdr:to>
      <xdr:col>2</xdr:col>
      <xdr:colOff>261937</xdr:colOff>
      <xdr:row>25</xdr:row>
      <xdr:rowOff>71437</xdr:rowOff>
    </xdr:to>
    <xdr:sp macro="" textlink="'V5'!G10">
      <xdr:nvSpPr>
        <xdr:cNvPr id="45" name="TextBox 44">
          <a:extLst>
            <a:ext uri="{FF2B5EF4-FFF2-40B4-BE49-F238E27FC236}">
              <a16:creationId xmlns:a16="http://schemas.microsoft.com/office/drawing/2014/main" id="{0D3D0D76-5B4B-4B40-B191-479457F08C03}"/>
            </a:ext>
          </a:extLst>
        </xdr:cNvPr>
        <xdr:cNvSpPr txBox="1"/>
      </xdr:nvSpPr>
      <xdr:spPr>
        <a:xfrm>
          <a:off x="59531" y="4417219"/>
          <a:ext cx="1416844" cy="416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CD1A49-FF7A-4339-8258-ECDD0CF6EEE4}" type="TxLink">
            <a:rPr lang="en-US" sz="3200" b="0" i="0" u="none" strike="noStrike">
              <a:solidFill>
                <a:schemeClr val="accent2">
                  <a:lumMod val="50000"/>
                </a:schemeClr>
              </a:solidFill>
              <a:latin typeface="Times New Roman" panose="02020603050405020304" pitchFamily="18" charset="0"/>
              <a:cs typeface="Times New Roman" panose="02020603050405020304" pitchFamily="18" charset="0"/>
            </a:rPr>
            <a:pPr algn="ctr"/>
            <a:t>1.61K</a:t>
          </a:fld>
          <a:endParaRPr lang="en-US" sz="3200" b="0" i="0" u="none" strike="noStrike">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559594</xdr:colOff>
      <xdr:row>14</xdr:row>
      <xdr:rowOff>190499</xdr:rowOff>
    </xdr:from>
    <xdr:to>
      <xdr:col>19</xdr:col>
      <xdr:colOff>308420</xdr:colOff>
      <xdr:row>26</xdr:row>
      <xdr:rowOff>166687</xdr:rowOff>
    </xdr:to>
    <xdr:sp macro="" textlink="">
      <xdr:nvSpPr>
        <xdr:cNvPr id="51" name="Rectangle: Rounded Corners 50">
          <a:extLst>
            <a:ext uri="{FF2B5EF4-FFF2-40B4-BE49-F238E27FC236}">
              <a16:creationId xmlns:a16="http://schemas.microsoft.com/office/drawing/2014/main" id="{1590978E-011E-4FF7-BD18-C66EA4DFA4CF}"/>
            </a:ext>
          </a:extLst>
        </xdr:cNvPr>
        <xdr:cNvSpPr/>
      </xdr:nvSpPr>
      <xdr:spPr>
        <a:xfrm>
          <a:off x="5417344" y="2857499"/>
          <a:ext cx="6428232" cy="2262188"/>
        </a:xfrm>
        <a:prstGeom prst="roundRect">
          <a:avLst>
            <a:gd name="adj" fmla="val 8403"/>
          </a:avLst>
        </a:prstGeom>
        <a:solidFill>
          <a:schemeClr val="accent2">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xdr:colOff>
      <xdr:row>14</xdr:row>
      <xdr:rowOff>166689</xdr:rowOff>
    </xdr:from>
    <xdr:to>
      <xdr:col>19</xdr:col>
      <xdr:colOff>297658</xdr:colOff>
      <xdr:row>26</xdr:row>
      <xdr:rowOff>166687</xdr:rowOff>
    </xdr:to>
    <xdr:graphicFrame macro="">
      <xdr:nvGraphicFramePr>
        <xdr:cNvPr id="6" name="Chart 5">
          <a:extLst>
            <a:ext uri="{FF2B5EF4-FFF2-40B4-BE49-F238E27FC236}">
              <a16:creationId xmlns:a16="http://schemas.microsoft.com/office/drawing/2014/main" id="{1232BB0C-481D-47C2-A22B-04D2248BB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369092</xdr:colOff>
      <xdr:row>14</xdr:row>
      <xdr:rowOff>178593</xdr:rowOff>
    </xdr:from>
    <xdr:to>
      <xdr:col>8</xdr:col>
      <xdr:colOff>465676</xdr:colOff>
      <xdr:row>26</xdr:row>
      <xdr:rowOff>166686</xdr:rowOff>
    </xdr:to>
    <xdr:sp macro="" textlink="">
      <xdr:nvSpPr>
        <xdr:cNvPr id="9" name="Rectangle: Rounded Corners 8">
          <a:extLst>
            <a:ext uri="{FF2B5EF4-FFF2-40B4-BE49-F238E27FC236}">
              <a16:creationId xmlns:a16="http://schemas.microsoft.com/office/drawing/2014/main" id="{A54B0FF9-3C5C-4DAD-82E0-D14BE45B872C}"/>
            </a:ext>
          </a:extLst>
        </xdr:cNvPr>
        <xdr:cNvSpPr/>
      </xdr:nvSpPr>
      <xdr:spPr>
        <a:xfrm>
          <a:off x="1583530" y="2845593"/>
          <a:ext cx="3739896" cy="2274093"/>
        </a:xfrm>
        <a:prstGeom prst="roundRect">
          <a:avLst>
            <a:gd name="adj" fmla="val 8403"/>
          </a:avLst>
        </a:prstGeom>
        <a:solidFill>
          <a:schemeClr val="accent2">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464342</xdr:colOff>
      <xdr:row>15</xdr:row>
      <xdr:rowOff>11906</xdr:rowOff>
    </xdr:from>
    <xdr:to>
      <xdr:col>8</xdr:col>
      <xdr:colOff>500061</xdr:colOff>
      <xdr:row>26</xdr:row>
      <xdr:rowOff>130969</xdr:rowOff>
    </xdr:to>
    <xdr:graphicFrame macro="">
      <xdr:nvGraphicFramePr>
        <xdr:cNvPr id="14" name="Chart 13">
          <a:extLst>
            <a:ext uri="{FF2B5EF4-FFF2-40B4-BE49-F238E27FC236}">
              <a16:creationId xmlns:a16="http://schemas.microsoft.com/office/drawing/2014/main" id="{261B28A4-E3F9-4886-8FB4-252CBF24C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119063</xdr:colOff>
      <xdr:row>8</xdr:row>
      <xdr:rowOff>95250</xdr:rowOff>
    </xdr:from>
    <xdr:to>
      <xdr:col>0</xdr:col>
      <xdr:colOff>285750</xdr:colOff>
      <xdr:row>9</xdr:row>
      <xdr:rowOff>71437</xdr:rowOff>
    </xdr:to>
    <xdr:pic>
      <xdr:nvPicPr>
        <xdr:cNvPr id="27" name="Graphic 26" descr="Crown with solid fill">
          <a:extLst>
            <a:ext uri="{FF2B5EF4-FFF2-40B4-BE49-F238E27FC236}">
              <a16:creationId xmlns:a16="http://schemas.microsoft.com/office/drawing/2014/main" id="{88517842-7517-2B62-AC6F-1F7EDEC8BA2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9063" y="1619250"/>
          <a:ext cx="166687" cy="166687"/>
        </a:xfrm>
        <a:prstGeom prst="rect">
          <a:avLst/>
        </a:prstGeom>
      </xdr:spPr>
    </xdr:pic>
    <xdr:clientData/>
  </xdr:twoCellAnchor>
  <xdr:twoCellAnchor editAs="oneCell">
    <xdr:from>
      <xdr:col>2</xdr:col>
      <xdr:colOff>107154</xdr:colOff>
      <xdr:row>8</xdr:row>
      <xdr:rowOff>83344</xdr:rowOff>
    </xdr:from>
    <xdr:to>
      <xdr:col>2</xdr:col>
      <xdr:colOff>273841</xdr:colOff>
      <xdr:row>9</xdr:row>
      <xdr:rowOff>59531</xdr:rowOff>
    </xdr:to>
    <xdr:pic>
      <xdr:nvPicPr>
        <xdr:cNvPr id="11" name="Graphic 10" descr="Crown with solid fill">
          <a:extLst>
            <a:ext uri="{FF2B5EF4-FFF2-40B4-BE49-F238E27FC236}">
              <a16:creationId xmlns:a16="http://schemas.microsoft.com/office/drawing/2014/main" id="{56D00903-00DA-480E-84CB-B43140556B9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21592" y="1607344"/>
          <a:ext cx="166687" cy="166687"/>
        </a:xfrm>
        <a:prstGeom prst="rect">
          <a:avLst/>
        </a:prstGeom>
      </xdr:spPr>
    </xdr:pic>
    <xdr:clientData/>
  </xdr:twoCellAnchor>
  <xdr:twoCellAnchor>
    <xdr:from>
      <xdr:col>19</xdr:col>
      <xdr:colOff>392908</xdr:colOff>
      <xdr:row>14</xdr:row>
      <xdr:rowOff>178595</xdr:rowOff>
    </xdr:from>
    <xdr:to>
      <xdr:col>25</xdr:col>
      <xdr:colOff>489491</xdr:colOff>
      <xdr:row>26</xdr:row>
      <xdr:rowOff>166688</xdr:rowOff>
    </xdr:to>
    <xdr:sp macro="" textlink="">
      <xdr:nvSpPr>
        <xdr:cNvPr id="19" name="Rectangle: Rounded Corners 18">
          <a:extLst>
            <a:ext uri="{FF2B5EF4-FFF2-40B4-BE49-F238E27FC236}">
              <a16:creationId xmlns:a16="http://schemas.microsoft.com/office/drawing/2014/main" id="{E577A1CD-F9CF-4BD8-97FF-952269EF1B1C}"/>
            </a:ext>
          </a:extLst>
        </xdr:cNvPr>
        <xdr:cNvSpPr/>
      </xdr:nvSpPr>
      <xdr:spPr>
        <a:xfrm>
          <a:off x="11930064" y="2845595"/>
          <a:ext cx="3739896" cy="2274093"/>
        </a:xfrm>
        <a:prstGeom prst="roundRect">
          <a:avLst>
            <a:gd name="adj" fmla="val 8403"/>
          </a:avLst>
        </a:prstGeom>
        <a:solidFill>
          <a:schemeClr val="accent2">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464345</xdr:colOff>
      <xdr:row>15</xdr:row>
      <xdr:rowOff>11905</xdr:rowOff>
    </xdr:from>
    <xdr:to>
      <xdr:col>25</xdr:col>
      <xdr:colOff>440532</xdr:colOff>
      <xdr:row>27</xdr:row>
      <xdr:rowOff>35718</xdr:rowOff>
    </xdr:to>
    <xdr:graphicFrame macro="">
      <xdr:nvGraphicFramePr>
        <xdr:cNvPr id="21" name="Chart 20">
          <a:extLst>
            <a:ext uri="{FF2B5EF4-FFF2-40B4-BE49-F238E27FC236}">
              <a16:creationId xmlns:a16="http://schemas.microsoft.com/office/drawing/2014/main" id="{2EE692C3-72FF-413B-9ADF-5AB4CA779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59531</xdr:colOff>
      <xdr:row>3</xdr:row>
      <xdr:rowOff>59531</xdr:rowOff>
    </xdr:from>
    <xdr:to>
      <xdr:col>19</xdr:col>
      <xdr:colOff>273844</xdr:colOff>
      <xdr:row>14</xdr:row>
      <xdr:rowOff>83344</xdr:rowOff>
    </xdr:to>
    <xdr:graphicFrame macro="">
      <xdr:nvGraphicFramePr>
        <xdr:cNvPr id="23" name="Chart 22">
          <a:extLst>
            <a:ext uri="{FF2B5EF4-FFF2-40B4-BE49-F238E27FC236}">
              <a16:creationId xmlns:a16="http://schemas.microsoft.com/office/drawing/2014/main" id="{AB6AE9BF-1024-4038-A855-8F4313885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402167</xdr:colOff>
      <xdr:row>0</xdr:row>
      <xdr:rowOff>83345</xdr:rowOff>
    </xdr:from>
    <xdr:to>
      <xdr:col>25</xdr:col>
      <xdr:colOff>488156</xdr:colOff>
      <xdr:row>3</xdr:row>
      <xdr:rowOff>130968</xdr:rowOff>
    </xdr:to>
    <mc:AlternateContent xmlns:mc="http://schemas.openxmlformats.org/markup-compatibility/2006" xmlns:a14="http://schemas.microsoft.com/office/drawing/2010/main">
      <mc:Choice Requires="a14">
        <xdr:graphicFrame macro="">
          <xdr:nvGraphicFramePr>
            <xdr:cNvPr id="31" name="Years (Date)">
              <a:extLst>
                <a:ext uri="{FF2B5EF4-FFF2-40B4-BE49-F238E27FC236}">
                  <a16:creationId xmlns:a16="http://schemas.microsoft.com/office/drawing/2014/main" id="{D6B15E1C-630F-4977-A2BA-F42EA9683FA3}"/>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1965782" y="83345"/>
              <a:ext cx="3750468" cy="619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431272</xdr:colOff>
      <xdr:row>3</xdr:row>
      <xdr:rowOff>55566</xdr:rowOff>
    </xdr:from>
    <xdr:to>
      <xdr:col>25</xdr:col>
      <xdr:colOff>508000</xdr:colOff>
      <xdr:row>14</xdr:row>
      <xdr:rowOff>63499</xdr:rowOff>
    </xdr:to>
    <mc:AlternateContent xmlns:mc="http://schemas.openxmlformats.org/markup-compatibility/2006" xmlns:a14="http://schemas.microsoft.com/office/drawing/2010/main">
      <mc:Choice Requires="a14">
        <xdr:graphicFrame macro="">
          <xdr:nvGraphicFramePr>
            <xdr:cNvPr id="34" name="Months (Date)">
              <a:extLst>
                <a:ext uri="{FF2B5EF4-FFF2-40B4-BE49-F238E27FC236}">
                  <a16:creationId xmlns:a16="http://schemas.microsoft.com/office/drawing/2014/main" id="{06BBBFFE-FCCE-4E9E-BD34-CFF58C50FE39}"/>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094105" y="627066"/>
              <a:ext cx="3759728" cy="2103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369094</xdr:colOff>
      <xdr:row>0</xdr:row>
      <xdr:rowOff>119062</xdr:rowOff>
    </xdr:from>
    <xdr:to>
      <xdr:col>14</xdr:col>
      <xdr:colOff>47624</xdr:colOff>
      <xdr:row>2</xdr:row>
      <xdr:rowOff>130969</xdr:rowOff>
    </xdr:to>
    <xdr:sp macro="" textlink="">
      <xdr:nvSpPr>
        <xdr:cNvPr id="39" name="TextBox 38">
          <a:extLst>
            <a:ext uri="{FF2B5EF4-FFF2-40B4-BE49-F238E27FC236}">
              <a16:creationId xmlns:a16="http://schemas.microsoft.com/office/drawing/2014/main" id="{FD53A110-E725-53C8-85F1-73D1D65530B0}"/>
            </a:ext>
          </a:extLst>
        </xdr:cNvPr>
        <xdr:cNvSpPr txBox="1"/>
      </xdr:nvSpPr>
      <xdr:spPr>
        <a:xfrm>
          <a:off x="5226844" y="119062"/>
          <a:ext cx="3321843" cy="392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t> </a:t>
          </a:r>
          <a:r>
            <a:rPr lang="en-IN" sz="2800" baseline="0"/>
            <a:t>Bakery Sales Dataset</a:t>
          </a:r>
          <a:endParaRPr lang="en-IN" sz="2800"/>
        </a:p>
      </xdr:txBody>
    </xdr:sp>
    <xdr:clientData/>
  </xdr:twoCellAnchor>
  <xdr:twoCellAnchor>
    <xdr:from>
      <xdr:col>2</xdr:col>
      <xdr:colOff>392906</xdr:colOff>
      <xdr:row>3</xdr:row>
      <xdr:rowOff>11906</xdr:rowOff>
    </xdr:from>
    <xdr:to>
      <xdr:col>8</xdr:col>
      <xdr:colOff>431601</xdr:colOff>
      <xdr:row>14</xdr:row>
      <xdr:rowOff>119064</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132BE8D5-50EB-45CB-A42F-5FACC5ED33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612106" y="583406"/>
              <a:ext cx="3696295" cy="22026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sh mohmad" refreshedDate="46098.469945138888" createdVersion="8" refreshedVersion="8" minRefreshableVersion="3" recordCount="700" xr:uid="{D909FB34-E020-4FE5-AAE3-1753AECF81A1}">
  <cacheSource type="worksheet">
    <worksheetSource name="Table1"/>
  </cacheSource>
  <cacheFields count="13">
    <cacheField name="Customer_ID" numFmtId="0">
      <sharedItems containsSemiMixedTypes="0" containsString="0" containsNumber="1" containsInteger="1" minValue="1" maxValue="5" count="5">
        <n v="3"/>
        <n v="5"/>
        <n v="4"/>
        <n v="2"/>
        <n v="1"/>
      </sharedItems>
    </cacheField>
    <cacheField name="Order_ID" numFmtId="0">
      <sharedItems containsSemiMixedTypes="0" containsString="0" containsNumber="1" containsInteger="1" minValue="100553" maxValue="899743"/>
    </cacheField>
    <cacheField name="Product Name" numFmtId="0">
      <sharedItems count="6">
        <s v="White Chocolate Macadamia Nut"/>
        <s v="Chocolate Chip"/>
        <s v="Oatmeal Raisin"/>
        <s v="Snickerdoodle"/>
        <s v="Sugar"/>
        <s v="Fortune Cookie"/>
      </sharedItems>
    </cacheField>
    <cacheField name="Units Sold" numFmtId="0">
      <sharedItems containsSemiMixedTypes="0" containsString="0" containsNumber="1" containsInteger="1" minValue="200" maxValue="4493"/>
    </cacheField>
    <cacheField name="Date" numFmtId="14">
      <sharedItems containsSemiMixedTypes="0" containsNonDate="0" containsDate="1" containsString="0" minDate="2019-09-01T00:00:00" maxDate="2020-12-02T00:00:00" count="16">
        <d v="2020-01-01T00:00:00"/>
        <d v="2020-04-01T00:00:00"/>
        <d v="2020-07-01T00:00:00"/>
        <d v="2019-10-01T00:00:00"/>
        <d v="2020-06-01T00:00:00"/>
        <d v="2020-10-01T00:00:00"/>
        <d v="2020-08-01T00:00:00"/>
        <d v="2020-05-01T00:00:00"/>
        <d v="2019-09-01T00:00:00"/>
        <d v="2020-02-01T00:00:00"/>
        <d v="2020-11-01T00:00:00"/>
        <d v="2019-11-01T00:00:00"/>
        <d v="2020-03-01T00:00:00"/>
        <d v="2020-09-01T00:00:00"/>
        <d v="2019-12-01T00:00:00"/>
        <d v="2020-12-01T00:00:00"/>
      </sharedItems>
      <fieldGroup par="12"/>
    </cacheField>
    <cacheField name="Estimated Revenue" numFmtId="0">
      <sharedItems containsSemiMixedTypes="0" containsString="0" containsNumber="1" minValue="200" maxValue="23985"/>
    </cacheField>
    <cacheField name="Estimated Cost Price" numFmtId="0">
      <sharedItems containsSemiMixedTypes="0" containsString="0" containsNumber="1" minValue="100" maxValue="10993.13"/>
    </cacheField>
    <cacheField name="Estimated Profit" numFmtId="0">
      <sharedItems containsSemiMixedTypes="0" containsString="0" containsNumber="1" minValue="100" maxValue="13477.5"/>
    </cacheField>
    <cacheField name="Profit Margin" numFmtId="0">
      <sharedItems containsSemiMixedTypes="0" containsString="0" containsNumber="1" minValue="50" maxValue="62.5"/>
    </cacheField>
    <cacheField name="Estimated Profit2" numFmtId="0">
      <sharedItems containsSemiMixedTypes="0" containsString="0" containsNumber="1" minValue="100" maxValue="13477.5"/>
    </cacheField>
    <cacheField name="Months (Date)" numFmtId="0" databaseField="0">
      <fieldGroup base="4">
        <rangePr groupBy="months" startDate="2019-09-01T00:00:00" endDate="2020-12-02T00:00:00"/>
        <groupItems count="14">
          <s v="&lt;01-09-19"/>
          <s v="Jan"/>
          <s v="Feb"/>
          <s v="Mar"/>
          <s v="Apr"/>
          <s v="May"/>
          <s v="Jun"/>
          <s v="Jul"/>
          <s v="Aug"/>
          <s v="Sep"/>
          <s v="Oct"/>
          <s v="Nov"/>
          <s v="Dec"/>
          <s v="&gt;02-12-20"/>
        </groupItems>
      </fieldGroup>
    </cacheField>
    <cacheField name="Quarters (Date)" numFmtId="0" databaseField="0">
      <fieldGroup base="4">
        <rangePr groupBy="quarters" startDate="2019-09-01T00:00:00" endDate="2020-12-02T00:00:00"/>
        <groupItems count="6">
          <s v="&lt;01-09-19"/>
          <s v="Qtr1"/>
          <s v="Qtr2"/>
          <s v="Qtr3"/>
          <s v="Qtr4"/>
          <s v="&gt;02-12-20"/>
        </groupItems>
      </fieldGroup>
    </cacheField>
    <cacheField name="Years (Date)" numFmtId="0" databaseField="0">
      <fieldGroup base="4">
        <rangePr groupBy="years" startDate="2019-09-01T00:00:00" endDate="2020-12-02T00:00:00"/>
        <groupItems count="4">
          <s v="&lt;01-09-19"/>
          <s v="2019"/>
          <s v="2020"/>
          <s v="&gt;02-12-20"/>
        </groupItems>
      </fieldGroup>
    </cacheField>
  </cacheFields>
  <extLst>
    <ext xmlns:x14="http://schemas.microsoft.com/office/spreadsheetml/2009/9/main" uri="{725AE2AE-9491-48be-B2B4-4EB974FC3084}">
      <x14:pivotCacheDefinition pivotCacheId="2071773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n v="397386"/>
    <x v="0"/>
    <n v="3998"/>
    <x v="0"/>
    <n v="23985"/>
    <n v="10993.13"/>
    <n v="12991.88"/>
    <n v="54.17"/>
    <n v="12991.88"/>
  </r>
  <r>
    <x v="1"/>
    <n v="613058"/>
    <x v="0"/>
    <n v="3864"/>
    <x v="1"/>
    <n v="23184"/>
    <n v="10626"/>
    <n v="12558"/>
    <n v="54.17"/>
    <n v="12558"/>
  </r>
  <r>
    <x v="2"/>
    <n v="766402"/>
    <x v="0"/>
    <n v="3851"/>
    <x v="1"/>
    <n v="23103"/>
    <n v="10588.88"/>
    <n v="12514.13"/>
    <n v="54.17"/>
    <n v="12514.13"/>
  </r>
  <r>
    <x v="2"/>
    <n v="710702"/>
    <x v="0"/>
    <n v="3794"/>
    <x v="2"/>
    <n v="22761"/>
    <n v="10432.129999999999"/>
    <n v="12328.88"/>
    <n v="54.17"/>
    <n v="12328.88"/>
  </r>
  <r>
    <x v="1"/>
    <n v="283378"/>
    <x v="1"/>
    <n v="4493"/>
    <x v="1"/>
    <n v="22462.5"/>
    <n v="8985"/>
    <n v="13477.5"/>
    <n v="60"/>
    <n v="13477.5"/>
  </r>
  <r>
    <x v="0"/>
    <n v="239419"/>
    <x v="1"/>
    <n v="4251"/>
    <x v="0"/>
    <n v="21255"/>
    <n v="8502"/>
    <n v="12753"/>
    <n v="60"/>
    <n v="12753"/>
  </r>
  <r>
    <x v="2"/>
    <n v="739483"/>
    <x v="2"/>
    <n v="4220"/>
    <x v="1"/>
    <n v="21097.5"/>
    <n v="9282.9"/>
    <n v="11814.6"/>
    <n v="56"/>
    <n v="11814.6"/>
  </r>
  <r>
    <x v="0"/>
    <n v="253399"/>
    <x v="1"/>
    <n v="4026"/>
    <x v="2"/>
    <n v="20130"/>
    <n v="8052"/>
    <n v="12078"/>
    <n v="60"/>
    <n v="12078"/>
  </r>
  <r>
    <x v="2"/>
    <n v="361305"/>
    <x v="1"/>
    <n v="3945"/>
    <x v="0"/>
    <n v="19725"/>
    <n v="7890"/>
    <n v="11835"/>
    <n v="60"/>
    <n v="11835"/>
  </r>
  <r>
    <x v="3"/>
    <n v="603195"/>
    <x v="1"/>
    <n v="3801"/>
    <x v="1"/>
    <n v="19005"/>
    <n v="7602"/>
    <n v="11403"/>
    <n v="60"/>
    <n v="11403"/>
  </r>
  <r>
    <x v="3"/>
    <n v="643111"/>
    <x v="1"/>
    <n v="3675"/>
    <x v="1"/>
    <n v="18375"/>
    <n v="7350"/>
    <n v="11025"/>
    <n v="60"/>
    <n v="11025"/>
  </r>
  <r>
    <x v="2"/>
    <n v="861720"/>
    <x v="0"/>
    <n v="2966"/>
    <x v="3"/>
    <n v="17796"/>
    <n v="8156.5"/>
    <n v="9639.5"/>
    <n v="54.17"/>
    <n v="9639.5"/>
  </r>
  <r>
    <x v="0"/>
    <n v="272552"/>
    <x v="2"/>
    <n v="3521"/>
    <x v="1"/>
    <n v="17602.5"/>
    <n v="7745.1"/>
    <n v="9857.4"/>
    <n v="56"/>
    <n v="9857.4"/>
  </r>
  <r>
    <x v="2"/>
    <n v="459019"/>
    <x v="1"/>
    <n v="3513"/>
    <x v="2"/>
    <n v="17565"/>
    <n v="7026"/>
    <n v="10539"/>
    <n v="60"/>
    <n v="10539"/>
  </r>
  <r>
    <x v="3"/>
    <n v="628402"/>
    <x v="1"/>
    <n v="3495"/>
    <x v="0"/>
    <n v="17475"/>
    <n v="6990"/>
    <n v="10485"/>
    <n v="60"/>
    <n v="10485"/>
  </r>
  <r>
    <x v="0"/>
    <n v="567117"/>
    <x v="0"/>
    <n v="2907"/>
    <x v="4"/>
    <n v="17442"/>
    <n v="7994.25"/>
    <n v="9447.75"/>
    <n v="54.17"/>
    <n v="9447.75"/>
  </r>
  <r>
    <x v="3"/>
    <n v="426268"/>
    <x v="0"/>
    <n v="2877"/>
    <x v="5"/>
    <n v="17262"/>
    <n v="7911.75"/>
    <n v="9350.25"/>
    <n v="54.17"/>
    <n v="9350.25"/>
  </r>
  <r>
    <x v="3"/>
    <n v="824253"/>
    <x v="1"/>
    <n v="3450"/>
    <x v="2"/>
    <n v="17250"/>
    <n v="6900"/>
    <n v="10350"/>
    <n v="60"/>
    <n v="10350"/>
  </r>
  <r>
    <x v="1"/>
    <n v="165918"/>
    <x v="0"/>
    <n v="2861"/>
    <x v="0"/>
    <n v="17166"/>
    <n v="7867.75"/>
    <n v="9298.25"/>
    <n v="54.17"/>
    <n v="9298.25"/>
  </r>
  <r>
    <x v="0"/>
    <n v="261362"/>
    <x v="2"/>
    <n v="3422"/>
    <x v="2"/>
    <n v="17107.5"/>
    <n v="7527.3"/>
    <n v="9580.2000000000007"/>
    <n v="56"/>
    <n v="9580.2000000000007"/>
  </r>
  <r>
    <x v="1"/>
    <n v="864063"/>
    <x v="0"/>
    <n v="2832"/>
    <x v="6"/>
    <n v="16992"/>
    <n v="7788"/>
    <n v="9204"/>
    <n v="54.17"/>
    <n v="9204"/>
  </r>
  <r>
    <x v="2"/>
    <n v="765655"/>
    <x v="3"/>
    <n v="4244"/>
    <x v="1"/>
    <n v="16974"/>
    <n v="6365.25"/>
    <n v="10608.75"/>
    <n v="62.5"/>
    <n v="10608.75"/>
  </r>
  <r>
    <x v="0"/>
    <n v="853295"/>
    <x v="0"/>
    <n v="2826"/>
    <x v="7"/>
    <n v="16956"/>
    <n v="7771.5"/>
    <n v="9184.5"/>
    <n v="54.17"/>
    <n v="9184.5"/>
  </r>
  <r>
    <x v="4"/>
    <n v="685153"/>
    <x v="0"/>
    <n v="2821"/>
    <x v="6"/>
    <n v="16926"/>
    <n v="7757.75"/>
    <n v="9168.25"/>
    <n v="54.17"/>
    <n v="9168.25"/>
  </r>
  <r>
    <x v="4"/>
    <n v="494115"/>
    <x v="0"/>
    <n v="2805"/>
    <x v="8"/>
    <n v="16830"/>
    <n v="7713.75"/>
    <n v="9116.25"/>
    <n v="54.17"/>
    <n v="9116.25"/>
  </r>
  <r>
    <x v="0"/>
    <n v="218006"/>
    <x v="0"/>
    <n v="2755"/>
    <x v="9"/>
    <n v="16530"/>
    <n v="7576.25"/>
    <n v="8953.75"/>
    <n v="54.17"/>
    <n v="8953.75"/>
  </r>
  <r>
    <x v="3"/>
    <n v="104326"/>
    <x v="2"/>
    <n v="3200"/>
    <x v="2"/>
    <n v="15997.5"/>
    <n v="7038.9"/>
    <n v="8958.6"/>
    <n v="56"/>
    <n v="8958.6"/>
  </r>
  <r>
    <x v="2"/>
    <n v="632477"/>
    <x v="0"/>
    <n v="2665"/>
    <x v="10"/>
    <n v="15990"/>
    <n v="7328.75"/>
    <n v="8661.25"/>
    <n v="54.17"/>
    <n v="8661.25"/>
  </r>
  <r>
    <x v="2"/>
    <n v="558048"/>
    <x v="0"/>
    <n v="2646"/>
    <x v="8"/>
    <n v="15876"/>
    <n v="7276.5"/>
    <n v="8599.5"/>
    <n v="54.17"/>
    <n v="8599.5"/>
  </r>
  <r>
    <x v="0"/>
    <n v="382237"/>
    <x v="2"/>
    <n v="3165"/>
    <x v="0"/>
    <n v="15825"/>
    <n v="6963"/>
    <n v="8862"/>
    <n v="56"/>
    <n v="8862"/>
  </r>
  <r>
    <x v="2"/>
    <n v="488771"/>
    <x v="0"/>
    <n v="2632"/>
    <x v="4"/>
    <n v="15792"/>
    <n v="7238"/>
    <n v="8554"/>
    <n v="54.17"/>
    <n v="8554"/>
  </r>
  <r>
    <x v="3"/>
    <n v="507202"/>
    <x v="0"/>
    <n v="2628"/>
    <x v="1"/>
    <n v="15768"/>
    <n v="7227"/>
    <n v="8541"/>
    <n v="54.17"/>
    <n v="8541"/>
  </r>
  <r>
    <x v="1"/>
    <n v="814769"/>
    <x v="0"/>
    <n v="2605"/>
    <x v="11"/>
    <n v="15630"/>
    <n v="7163.75"/>
    <n v="8466.25"/>
    <n v="54.17"/>
    <n v="8466.25"/>
  </r>
  <r>
    <x v="2"/>
    <n v="208456"/>
    <x v="0"/>
    <n v="2574"/>
    <x v="11"/>
    <n v="15444"/>
    <n v="7078.5"/>
    <n v="8365.5"/>
    <n v="54.17"/>
    <n v="8365.5"/>
  </r>
  <r>
    <x v="3"/>
    <n v="752353"/>
    <x v="0"/>
    <n v="2536"/>
    <x v="11"/>
    <n v="15216"/>
    <n v="6974"/>
    <n v="8242"/>
    <n v="54.17"/>
    <n v="8242"/>
  </r>
  <r>
    <x v="0"/>
    <n v="215670"/>
    <x v="2"/>
    <n v="2993"/>
    <x v="12"/>
    <n v="14965"/>
    <n v="6584.6"/>
    <n v="8380.4"/>
    <n v="56"/>
    <n v="8380.4"/>
  </r>
  <r>
    <x v="0"/>
    <n v="788375"/>
    <x v="1"/>
    <n v="2993"/>
    <x v="13"/>
    <n v="14965"/>
    <n v="5986"/>
    <n v="8979"/>
    <n v="60"/>
    <n v="8979"/>
  </r>
  <r>
    <x v="3"/>
    <n v="440377"/>
    <x v="1"/>
    <n v="2992"/>
    <x v="3"/>
    <n v="14960"/>
    <n v="5984"/>
    <n v="8976"/>
    <n v="60"/>
    <n v="8976"/>
  </r>
  <r>
    <x v="0"/>
    <n v="508782"/>
    <x v="1"/>
    <n v="2992"/>
    <x v="12"/>
    <n v="14960"/>
    <n v="5984"/>
    <n v="8976"/>
    <n v="60"/>
    <n v="8976"/>
  </r>
  <r>
    <x v="0"/>
    <n v="288851"/>
    <x v="1"/>
    <n v="2988"/>
    <x v="2"/>
    <n v="14940"/>
    <n v="5976"/>
    <n v="8964"/>
    <n v="60"/>
    <n v="8964"/>
  </r>
  <r>
    <x v="0"/>
    <n v="253215"/>
    <x v="2"/>
    <n v="2966"/>
    <x v="3"/>
    <n v="14830"/>
    <n v="6525.2"/>
    <n v="8304.7999999999993"/>
    <n v="56"/>
    <n v="8304.7999999999993"/>
  </r>
  <r>
    <x v="2"/>
    <n v="233911"/>
    <x v="0"/>
    <n v="2460"/>
    <x v="2"/>
    <n v="14760"/>
    <n v="6765"/>
    <n v="7995"/>
    <n v="54.17"/>
    <n v="7995"/>
  </r>
  <r>
    <x v="1"/>
    <n v="854455"/>
    <x v="1"/>
    <n v="2931"/>
    <x v="8"/>
    <n v="14655"/>
    <n v="5862"/>
    <n v="8793"/>
    <n v="60"/>
    <n v="8793"/>
  </r>
  <r>
    <x v="2"/>
    <n v="727940"/>
    <x v="0"/>
    <n v="2438"/>
    <x v="14"/>
    <n v="14628"/>
    <n v="6704.5"/>
    <n v="7923.5"/>
    <n v="54.17"/>
    <n v="7923.5"/>
  </r>
  <r>
    <x v="0"/>
    <n v="549329"/>
    <x v="1"/>
    <n v="2918"/>
    <x v="7"/>
    <n v="14590"/>
    <n v="5836"/>
    <n v="8754"/>
    <n v="60"/>
    <n v="8754"/>
  </r>
  <r>
    <x v="2"/>
    <n v="673372"/>
    <x v="0"/>
    <n v="2431"/>
    <x v="15"/>
    <n v="14586"/>
    <n v="6685.25"/>
    <n v="7900.75"/>
    <n v="54.17"/>
    <n v="7900.75"/>
  </r>
  <r>
    <x v="0"/>
    <n v="898886"/>
    <x v="1"/>
    <n v="2914"/>
    <x v="5"/>
    <n v="14570"/>
    <n v="5828"/>
    <n v="8742"/>
    <n v="60"/>
    <n v="8742"/>
  </r>
  <r>
    <x v="1"/>
    <n v="841420"/>
    <x v="2"/>
    <n v="2914"/>
    <x v="5"/>
    <n v="14570"/>
    <n v="6410.8"/>
    <n v="8159.2"/>
    <n v="56"/>
    <n v="8159.2"/>
  </r>
  <r>
    <x v="0"/>
    <n v="755930"/>
    <x v="2"/>
    <n v="2907"/>
    <x v="4"/>
    <n v="14535"/>
    <n v="6395.4"/>
    <n v="8139.6"/>
    <n v="56"/>
    <n v="8139.6"/>
  </r>
  <r>
    <x v="2"/>
    <n v="160202"/>
    <x v="1"/>
    <n v="2905"/>
    <x v="10"/>
    <n v="14525"/>
    <n v="5810"/>
    <n v="8715"/>
    <n v="60"/>
    <n v="8715"/>
  </r>
  <r>
    <x v="0"/>
    <n v="271981"/>
    <x v="2"/>
    <n v="2876"/>
    <x v="13"/>
    <n v="14380"/>
    <n v="6327.2"/>
    <n v="8052.8"/>
    <n v="56"/>
    <n v="8052.8"/>
  </r>
  <r>
    <x v="1"/>
    <n v="177011"/>
    <x v="1"/>
    <n v="2852"/>
    <x v="15"/>
    <n v="14260"/>
    <n v="5704"/>
    <n v="8556"/>
    <n v="60"/>
    <n v="8556"/>
  </r>
  <r>
    <x v="2"/>
    <n v="251968"/>
    <x v="1"/>
    <n v="2851"/>
    <x v="7"/>
    <n v="14255"/>
    <n v="5702"/>
    <n v="8553"/>
    <n v="60"/>
    <n v="8553"/>
  </r>
  <r>
    <x v="3"/>
    <n v="374115"/>
    <x v="2"/>
    <n v="2844"/>
    <x v="7"/>
    <n v="14220"/>
    <n v="6256.8"/>
    <n v="7963.2"/>
    <n v="56"/>
    <n v="7963.2"/>
  </r>
  <r>
    <x v="2"/>
    <n v="507642"/>
    <x v="0"/>
    <n v="2338"/>
    <x v="4"/>
    <n v="14028"/>
    <n v="6429.5"/>
    <n v="7598.5"/>
    <n v="54.17"/>
    <n v="7598.5"/>
  </r>
  <r>
    <x v="2"/>
    <n v="307196"/>
    <x v="1"/>
    <n v="2797"/>
    <x v="15"/>
    <n v="13985"/>
    <n v="5594"/>
    <n v="8391"/>
    <n v="60"/>
    <n v="8391"/>
  </r>
  <r>
    <x v="1"/>
    <n v="867252"/>
    <x v="1"/>
    <n v="2763"/>
    <x v="11"/>
    <n v="13815"/>
    <n v="5526"/>
    <n v="8289"/>
    <n v="60"/>
    <n v="8289"/>
  </r>
  <r>
    <x v="2"/>
    <n v="410583"/>
    <x v="2"/>
    <n v="2761"/>
    <x v="8"/>
    <n v="13805"/>
    <n v="6074.2"/>
    <n v="7730.8"/>
    <n v="56"/>
    <n v="7730.8"/>
  </r>
  <r>
    <x v="0"/>
    <n v="876370"/>
    <x v="3"/>
    <n v="3446"/>
    <x v="1"/>
    <n v="13782"/>
    <n v="5168.25"/>
    <n v="8613.75"/>
    <n v="62.5"/>
    <n v="8613.75"/>
  </r>
  <r>
    <x v="0"/>
    <n v="378254"/>
    <x v="0"/>
    <n v="2294"/>
    <x v="3"/>
    <n v="13764"/>
    <n v="6308.5"/>
    <n v="7455.5"/>
    <n v="54.17"/>
    <n v="7455.5"/>
  </r>
  <r>
    <x v="0"/>
    <n v="736328"/>
    <x v="2"/>
    <n v="2750"/>
    <x v="9"/>
    <n v="13750"/>
    <n v="6050"/>
    <n v="7700"/>
    <n v="56"/>
    <n v="7700"/>
  </r>
  <r>
    <x v="2"/>
    <n v="723364"/>
    <x v="2"/>
    <n v="2734"/>
    <x v="5"/>
    <n v="13670"/>
    <n v="6014.8"/>
    <n v="7655.2"/>
    <n v="56"/>
    <n v="7655.2"/>
  </r>
  <r>
    <x v="3"/>
    <n v="306694"/>
    <x v="1"/>
    <n v="2729"/>
    <x v="15"/>
    <n v="13645"/>
    <n v="5458"/>
    <n v="8187"/>
    <n v="60"/>
    <n v="8187"/>
  </r>
  <r>
    <x v="3"/>
    <n v="209116"/>
    <x v="1"/>
    <n v="2708"/>
    <x v="9"/>
    <n v="13540"/>
    <n v="5416"/>
    <n v="8124"/>
    <n v="60"/>
    <n v="8124"/>
  </r>
  <r>
    <x v="0"/>
    <n v="121808"/>
    <x v="1"/>
    <n v="2696"/>
    <x v="6"/>
    <n v="13480"/>
    <n v="5392"/>
    <n v="8088"/>
    <n v="60"/>
    <n v="8088"/>
  </r>
  <r>
    <x v="1"/>
    <n v="335658"/>
    <x v="1"/>
    <n v="2689"/>
    <x v="5"/>
    <n v="13445"/>
    <n v="5378"/>
    <n v="8067"/>
    <n v="60"/>
    <n v="8067"/>
  </r>
  <r>
    <x v="2"/>
    <n v="444225"/>
    <x v="1"/>
    <n v="2663"/>
    <x v="15"/>
    <n v="13315"/>
    <n v="5326"/>
    <n v="7989"/>
    <n v="60"/>
    <n v="7989"/>
  </r>
  <r>
    <x v="0"/>
    <n v="388978"/>
    <x v="1"/>
    <n v="2641"/>
    <x v="9"/>
    <n v="13205"/>
    <n v="5282"/>
    <n v="7923"/>
    <n v="60"/>
    <n v="7923"/>
  </r>
  <r>
    <x v="3"/>
    <n v="123693"/>
    <x v="1"/>
    <n v="2632"/>
    <x v="4"/>
    <n v="13160"/>
    <n v="5264"/>
    <n v="7896"/>
    <n v="60"/>
    <n v="7896"/>
  </r>
  <r>
    <x v="2"/>
    <n v="424398"/>
    <x v="2"/>
    <n v="2629"/>
    <x v="0"/>
    <n v="13145"/>
    <n v="5783.8"/>
    <n v="7361.2"/>
    <n v="56"/>
    <n v="7361.2"/>
  </r>
  <r>
    <x v="1"/>
    <n v="587035"/>
    <x v="1"/>
    <n v="2620"/>
    <x v="13"/>
    <n v="13100"/>
    <n v="5240"/>
    <n v="7860"/>
    <n v="60"/>
    <n v="7860"/>
  </r>
  <r>
    <x v="0"/>
    <n v="375461"/>
    <x v="0"/>
    <n v="2177"/>
    <x v="5"/>
    <n v="13062"/>
    <n v="5986.75"/>
    <n v="7075.25"/>
    <n v="54.17"/>
    <n v="7075.25"/>
  </r>
  <r>
    <x v="4"/>
    <n v="806592"/>
    <x v="0"/>
    <n v="2161"/>
    <x v="12"/>
    <n v="12966"/>
    <n v="5942.75"/>
    <n v="7023.25"/>
    <n v="54.17"/>
    <n v="7023.25"/>
  </r>
  <r>
    <x v="3"/>
    <n v="431261"/>
    <x v="0"/>
    <n v="2145"/>
    <x v="3"/>
    <n v="12870"/>
    <n v="5898.75"/>
    <n v="6971.25"/>
    <n v="54.17"/>
    <n v="6971.25"/>
  </r>
  <r>
    <x v="2"/>
    <n v="702523"/>
    <x v="2"/>
    <n v="2574"/>
    <x v="6"/>
    <n v="12870"/>
    <n v="5662.8"/>
    <n v="7207.2"/>
    <n v="56"/>
    <n v="7207.2"/>
  </r>
  <r>
    <x v="3"/>
    <n v="334678"/>
    <x v="1"/>
    <n v="2565"/>
    <x v="0"/>
    <n v="12825"/>
    <n v="5130"/>
    <n v="7695"/>
    <n v="60"/>
    <n v="7695"/>
  </r>
  <r>
    <x v="0"/>
    <n v="408804"/>
    <x v="1"/>
    <n v="2559"/>
    <x v="6"/>
    <n v="12795"/>
    <n v="5118"/>
    <n v="7677"/>
    <n v="60"/>
    <n v="7677"/>
  </r>
  <r>
    <x v="2"/>
    <n v="519269"/>
    <x v="2"/>
    <n v="2548"/>
    <x v="11"/>
    <n v="12740"/>
    <n v="5605.6"/>
    <n v="7134.4"/>
    <n v="56"/>
    <n v="7134.4"/>
  </r>
  <r>
    <x v="0"/>
    <n v="844763"/>
    <x v="1"/>
    <n v="2535"/>
    <x v="1"/>
    <n v="12675"/>
    <n v="5070"/>
    <n v="7605"/>
    <n v="60"/>
    <n v="7605"/>
  </r>
  <r>
    <x v="0"/>
    <n v="436809"/>
    <x v="1"/>
    <n v="2532"/>
    <x v="1"/>
    <n v="12660"/>
    <n v="5064"/>
    <n v="7596"/>
    <n v="60"/>
    <n v="7596"/>
  </r>
  <r>
    <x v="1"/>
    <n v="764088"/>
    <x v="0"/>
    <n v="2110"/>
    <x v="13"/>
    <n v="12660"/>
    <n v="5802.5"/>
    <n v="6857.5"/>
    <n v="54.17"/>
    <n v="6857.5"/>
  </r>
  <r>
    <x v="0"/>
    <n v="684759"/>
    <x v="1"/>
    <n v="2518"/>
    <x v="4"/>
    <n v="12590"/>
    <n v="5036"/>
    <n v="7554"/>
    <n v="60"/>
    <n v="7554"/>
  </r>
  <r>
    <x v="3"/>
    <n v="894331"/>
    <x v="0"/>
    <n v="2092"/>
    <x v="11"/>
    <n v="12552"/>
    <n v="5753"/>
    <n v="6799"/>
    <n v="54.17"/>
    <n v="6799"/>
  </r>
  <r>
    <x v="4"/>
    <n v="529471"/>
    <x v="0"/>
    <n v="2087"/>
    <x v="13"/>
    <n v="12522"/>
    <n v="5739.25"/>
    <n v="6782.75"/>
    <n v="54.17"/>
    <n v="6782.75"/>
  </r>
  <r>
    <x v="4"/>
    <n v="881268"/>
    <x v="0"/>
    <n v="2076"/>
    <x v="3"/>
    <n v="12456"/>
    <n v="5709"/>
    <n v="6747"/>
    <n v="54.17"/>
    <n v="6747"/>
  </r>
  <r>
    <x v="0"/>
    <n v="683349"/>
    <x v="2"/>
    <n v="2475"/>
    <x v="12"/>
    <n v="12375"/>
    <n v="5445"/>
    <n v="6930"/>
    <n v="56"/>
    <n v="6930"/>
  </r>
  <r>
    <x v="2"/>
    <n v="140516"/>
    <x v="2"/>
    <n v="2475"/>
    <x v="6"/>
    <n v="12375"/>
    <n v="5445"/>
    <n v="6930"/>
    <n v="56"/>
    <n v="6930"/>
  </r>
  <r>
    <x v="1"/>
    <n v="703997"/>
    <x v="1"/>
    <n v="2472"/>
    <x v="13"/>
    <n v="12360"/>
    <n v="4944"/>
    <n v="7416"/>
    <n v="60"/>
    <n v="7416"/>
  </r>
  <r>
    <x v="0"/>
    <n v="864409"/>
    <x v="1"/>
    <n v="2470"/>
    <x v="8"/>
    <n v="12350"/>
    <n v="4940"/>
    <n v="7410"/>
    <n v="60"/>
    <n v="7410"/>
  </r>
  <r>
    <x v="0"/>
    <n v="496123"/>
    <x v="1"/>
    <n v="2460"/>
    <x v="4"/>
    <n v="12300"/>
    <n v="4920"/>
    <n v="7380"/>
    <n v="60"/>
    <n v="7380"/>
  </r>
  <r>
    <x v="0"/>
    <n v="235897"/>
    <x v="2"/>
    <n v="2460"/>
    <x v="4"/>
    <n v="12300"/>
    <n v="5412"/>
    <n v="6888"/>
    <n v="56"/>
    <n v="6888"/>
  </r>
  <r>
    <x v="0"/>
    <n v="120842"/>
    <x v="1"/>
    <n v="2441"/>
    <x v="5"/>
    <n v="12205"/>
    <n v="4882"/>
    <n v="7323"/>
    <n v="60"/>
    <n v="7323"/>
  </r>
  <r>
    <x v="3"/>
    <n v="859158"/>
    <x v="1"/>
    <n v="2435"/>
    <x v="0"/>
    <n v="12172.5"/>
    <n v="4869"/>
    <n v="7303.5"/>
    <n v="60"/>
    <n v="7303.5"/>
  </r>
  <r>
    <x v="1"/>
    <n v="115582"/>
    <x v="1"/>
    <n v="2431"/>
    <x v="15"/>
    <n v="12155"/>
    <n v="4862"/>
    <n v="7293"/>
    <n v="60"/>
    <n v="7293"/>
  </r>
  <r>
    <x v="2"/>
    <n v="442121"/>
    <x v="1"/>
    <n v="2428"/>
    <x v="12"/>
    <n v="12140"/>
    <n v="4856"/>
    <n v="7284"/>
    <n v="60"/>
    <n v="7284"/>
  </r>
  <r>
    <x v="3"/>
    <n v="146841"/>
    <x v="1"/>
    <n v="2426"/>
    <x v="2"/>
    <n v="12127.5"/>
    <n v="4851"/>
    <n v="7276.5"/>
    <n v="60"/>
    <n v="7276.5"/>
  </r>
  <r>
    <x v="1"/>
    <n v="527753"/>
    <x v="1"/>
    <n v="2417"/>
    <x v="0"/>
    <n v="12085"/>
    <n v="4834"/>
    <n v="7251"/>
    <n v="60"/>
    <n v="7251"/>
  </r>
  <r>
    <x v="2"/>
    <n v="899743"/>
    <x v="0"/>
    <n v="2009"/>
    <x v="5"/>
    <n v="12054"/>
    <n v="5524.75"/>
    <n v="6529.25"/>
    <n v="54.17"/>
    <n v="6529.25"/>
  </r>
  <r>
    <x v="0"/>
    <n v="231476"/>
    <x v="1"/>
    <n v="2409"/>
    <x v="8"/>
    <n v="12045"/>
    <n v="4818"/>
    <n v="7227"/>
    <n v="60"/>
    <n v="7227"/>
  </r>
  <r>
    <x v="4"/>
    <n v="727283"/>
    <x v="3"/>
    <n v="2996"/>
    <x v="3"/>
    <n v="11984"/>
    <n v="4494"/>
    <n v="7490"/>
    <n v="62.5"/>
    <n v="7490"/>
  </r>
  <r>
    <x v="2"/>
    <n v="466133"/>
    <x v="1"/>
    <n v="2394"/>
    <x v="6"/>
    <n v="11970"/>
    <n v="4788"/>
    <n v="7182"/>
    <n v="60"/>
    <n v="7182"/>
  </r>
  <r>
    <x v="2"/>
    <n v="726489"/>
    <x v="1"/>
    <n v="2385"/>
    <x v="12"/>
    <n v="11925"/>
    <n v="4770"/>
    <n v="7155"/>
    <n v="60"/>
    <n v="7155"/>
  </r>
  <r>
    <x v="2"/>
    <n v="235009"/>
    <x v="0"/>
    <n v="1976"/>
    <x v="5"/>
    <n v="11856"/>
    <n v="5434"/>
    <n v="6422"/>
    <n v="54.17"/>
    <n v="6422"/>
  </r>
  <r>
    <x v="2"/>
    <n v="550816"/>
    <x v="1"/>
    <n v="2363"/>
    <x v="9"/>
    <n v="11815"/>
    <n v="4726"/>
    <n v="7089"/>
    <n v="60"/>
    <n v="7089"/>
  </r>
  <r>
    <x v="3"/>
    <n v="751733"/>
    <x v="0"/>
    <n v="1967"/>
    <x v="12"/>
    <n v="11802"/>
    <n v="5409.25"/>
    <n v="6392.75"/>
    <n v="54.17"/>
    <n v="6392.75"/>
  </r>
  <r>
    <x v="3"/>
    <n v="678731"/>
    <x v="1"/>
    <n v="2349"/>
    <x v="8"/>
    <n v="11745"/>
    <n v="4698"/>
    <n v="7047"/>
    <n v="60"/>
    <n v="7047"/>
  </r>
  <r>
    <x v="4"/>
    <n v="779126"/>
    <x v="1"/>
    <n v="2327"/>
    <x v="7"/>
    <n v="11635"/>
    <n v="4654"/>
    <n v="6981"/>
    <n v="60"/>
    <n v="6981"/>
  </r>
  <r>
    <x v="4"/>
    <n v="219485"/>
    <x v="4"/>
    <n v="3875"/>
    <x v="2"/>
    <n v="11623.5"/>
    <n v="4843.13"/>
    <n v="6780.38"/>
    <n v="58.33"/>
    <n v="6780.38"/>
  </r>
  <r>
    <x v="3"/>
    <n v="482625"/>
    <x v="0"/>
    <n v="1916"/>
    <x v="14"/>
    <n v="11496"/>
    <n v="5269"/>
    <n v="6227"/>
    <n v="54.17"/>
    <n v="6227"/>
  </r>
  <r>
    <x v="0"/>
    <n v="176592"/>
    <x v="1"/>
    <n v="2299"/>
    <x v="3"/>
    <n v="11495"/>
    <n v="4598"/>
    <n v="6897"/>
    <n v="60"/>
    <n v="6897"/>
  </r>
  <r>
    <x v="2"/>
    <n v="579016"/>
    <x v="1"/>
    <n v="2296"/>
    <x v="9"/>
    <n v="11480"/>
    <n v="4592"/>
    <n v="6888"/>
    <n v="60"/>
    <n v="6888"/>
  </r>
  <r>
    <x v="4"/>
    <n v="866409"/>
    <x v="3"/>
    <n v="2852"/>
    <x v="15"/>
    <n v="11408"/>
    <n v="4278"/>
    <n v="7130"/>
    <n v="62.5"/>
    <n v="7130"/>
  </r>
  <r>
    <x v="3"/>
    <n v="654585"/>
    <x v="3"/>
    <n v="2851"/>
    <x v="3"/>
    <n v="11404"/>
    <n v="4276.5"/>
    <n v="7127.5"/>
    <n v="62.5"/>
    <n v="7127.5"/>
  </r>
  <r>
    <x v="2"/>
    <n v="655952"/>
    <x v="2"/>
    <n v="2276"/>
    <x v="7"/>
    <n v="11380"/>
    <n v="5007.2"/>
    <n v="6372.8"/>
    <n v="56"/>
    <n v="6372.8"/>
  </r>
  <r>
    <x v="3"/>
    <n v="779393"/>
    <x v="3"/>
    <n v="2844"/>
    <x v="4"/>
    <n v="11376"/>
    <n v="4266"/>
    <n v="7110"/>
    <n v="62.5"/>
    <n v="7110"/>
  </r>
  <r>
    <x v="3"/>
    <n v="738910"/>
    <x v="1"/>
    <n v="2261"/>
    <x v="14"/>
    <n v="11305"/>
    <n v="4522"/>
    <n v="6783"/>
    <n v="60"/>
    <n v="6783"/>
  </r>
  <r>
    <x v="2"/>
    <n v="384743"/>
    <x v="3"/>
    <n v="2821"/>
    <x v="14"/>
    <n v="11284"/>
    <n v="4231.5"/>
    <n v="7052.5"/>
    <n v="62.5"/>
    <n v="7052.5"/>
  </r>
  <r>
    <x v="3"/>
    <n v="327555"/>
    <x v="3"/>
    <n v="2811"/>
    <x v="2"/>
    <n v="11244"/>
    <n v="4216.5"/>
    <n v="7027.5"/>
    <n v="62.5"/>
    <n v="7027.5"/>
  </r>
  <r>
    <x v="0"/>
    <n v="761022"/>
    <x v="2"/>
    <n v="2240"/>
    <x v="9"/>
    <n v="11200"/>
    <n v="4928"/>
    <n v="6272"/>
    <n v="56"/>
    <n v="6272"/>
  </r>
  <r>
    <x v="3"/>
    <n v="812448"/>
    <x v="3"/>
    <n v="2791"/>
    <x v="10"/>
    <n v="11164"/>
    <n v="4186.5"/>
    <n v="6977.5"/>
    <n v="62.5"/>
    <n v="6977.5"/>
  </r>
  <r>
    <x v="2"/>
    <n v="754823"/>
    <x v="1"/>
    <n v="2222"/>
    <x v="11"/>
    <n v="11110"/>
    <n v="4444"/>
    <n v="6666"/>
    <n v="60"/>
    <n v="6666"/>
  </r>
  <r>
    <x v="2"/>
    <n v="858434"/>
    <x v="3"/>
    <n v="2767"/>
    <x v="6"/>
    <n v="11068"/>
    <n v="4150.5"/>
    <n v="6917.5"/>
    <n v="62.5"/>
    <n v="6917.5"/>
  </r>
  <r>
    <x v="0"/>
    <n v="698245"/>
    <x v="1"/>
    <n v="2198"/>
    <x v="6"/>
    <n v="10990"/>
    <n v="4396"/>
    <n v="6594"/>
    <n v="60"/>
    <n v="6594"/>
  </r>
  <r>
    <x v="3"/>
    <n v="356550"/>
    <x v="0"/>
    <n v="1808"/>
    <x v="10"/>
    <n v="10848"/>
    <n v="4972"/>
    <n v="5876"/>
    <n v="54.17"/>
    <n v="5876"/>
  </r>
  <r>
    <x v="0"/>
    <n v="712767"/>
    <x v="1"/>
    <n v="2167"/>
    <x v="3"/>
    <n v="10835"/>
    <n v="4334"/>
    <n v="6501"/>
    <n v="60"/>
    <n v="6501"/>
  </r>
  <r>
    <x v="2"/>
    <n v="775360"/>
    <x v="0"/>
    <n v="1804"/>
    <x v="9"/>
    <n v="10824"/>
    <n v="4961"/>
    <n v="5863"/>
    <n v="54.17"/>
    <n v="5863"/>
  </r>
  <r>
    <x v="1"/>
    <n v="535522"/>
    <x v="3"/>
    <n v="2706"/>
    <x v="11"/>
    <n v="10824"/>
    <n v="4059"/>
    <n v="6765"/>
    <n v="62.5"/>
    <n v="6765"/>
  </r>
  <r>
    <x v="1"/>
    <n v="441751"/>
    <x v="2"/>
    <n v="2157"/>
    <x v="15"/>
    <n v="10785"/>
    <n v="4745.3999999999996"/>
    <n v="6039.6"/>
    <n v="56"/>
    <n v="6039.6"/>
  </r>
  <r>
    <x v="1"/>
    <n v="714255"/>
    <x v="1"/>
    <n v="2156"/>
    <x v="5"/>
    <n v="10780"/>
    <n v="4312"/>
    <n v="6468"/>
    <n v="60"/>
    <n v="6468"/>
  </r>
  <r>
    <x v="4"/>
    <n v="481324"/>
    <x v="1"/>
    <n v="2155"/>
    <x v="15"/>
    <n v="10775"/>
    <n v="4310"/>
    <n v="6465"/>
    <n v="60"/>
    <n v="6465"/>
  </r>
  <r>
    <x v="1"/>
    <n v="529550"/>
    <x v="1"/>
    <n v="2152"/>
    <x v="14"/>
    <n v="10760"/>
    <n v="4304"/>
    <n v="6456"/>
    <n v="60"/>
    <n v="6456"/>
  </r>
  <r>
    <x v="4"/>
    <n v="483789"/>
    <x v="3"/>
    <n v="2689"/>
    <x v="10"/>
    <n v="10756"/>
    <n v="4033.5"/>
    <n v="6722.5"/>
    <n v="62.5"/>
    <n v="6722.5"/>
  </r>
  <r>
    <x v="0"/>
    <n v="708450"/>
    <x v="1"/>
    <n v="2151"/>
    <x v="11"/>
    <n v="10755"/>
    <n v="4302"/>
    <n v="6453"/>
    <n v="60"/>
    <n v="6453"/>
  </r>
  <r>
    <x v="3"/>
    <n v="389356"/>
    <x v="1"/>
    <n v="2150"/>
    <x v="10"/>
    <n v="10750"/>
    <n v="4300"/>
    <n v="6450"/>
    <n v="60"/>
    <n v="6450"/>
  </r>
  <r>
    <x v="0"/>
    <n v="263663"/>
    <x v="1"/>
    <n v="2146"/>
    <x v="11"/>
    <n v="10730"/>
    <n v="4292"/>
    <n v="6438"/>
    <n v="60"/>
    <n v="6438"/>
  </r>
  <r>
    <x v="0"/>
    <n v="505159"/>
    <x v="1"/>
    <n v="2145"/>
    <x v="3"/>
    <n v="10725"/>
    <n v="4290"/>
    <n v="6435"/>
    <n v="60"/>
    <n v="6435"/>
  </r>
  <r>
    <x v="3"/>
    <n v="348619"/>
    <x v="2"/>
    <n v="2141"/>
    <x v="6"/>
    <n v="10705"/>
    <n v="4710.2"/>
    <n v="5994.8"/>
    <n v="56"/>
    <n v="5994.8"/>
  </r>
  <r>
    <x v="1"/>
    <n v="111799"/>
    <x v="3"/>
    <n v="2671"/>
    <x v="13"/>
    <n v="10684"/>
    <n v="4006.5"/>
    <n v="6677.5"/>
    <n v="62.5"/>
    <n v="6677.5"/>
  </r>
  <r>
    <x v="2"/>
    <n v="685544"/>
    <x v="1"/>
    <n v="2136"/>
    <x v="14"/>
    <n v="10680"/>
    <n v="4272"/>
    <n v="6408"/>
    <n v="60"/>
    <n v="6408"/>
  </r>
  <r>
    <x v="0"/>
    <n v="146778"/>
    <x v="1"/>
    <n v="2125"/>
    <x v="14"/>
    <n v="10625"/>
    <n v="4250"/>
    <n v="6375"/>
    <n v="60"/>
    <n v="6375"/>
  </r>
  <r>
    <x v="4"/>
    <n v="636993"/>
    <x v="1"/>
    <n v="2116"/>
    <x v="14"/>
    <n v="10580"/>
    <n v="4232"/>
    <n v="6348"/>
    <n v="60"/>
    <n v="6348"/>
  </r>
  <r>
    <x v="0"/>
    <n v="735406"/>
    <x v="1"/>
    <n v="2105"/>
    <x v="2"/>
    <n v="10522.5"/>
    <n v="4209"/>
    <n v="6313.5"/>
    <n v="60"/>
    <n v="6313.5"/>
  </r>
  <r>
    <x v="1"/>
    <n v="126864"/>
    <x v="1"/>
    <n v="2101"/>
    <x v="6"/>
    <n v="10505"/>
    <n v="4202"/>
    <n v="6303"/>
    <n v="60"/>
    <n v="6303"/>
  </r>
  <r>
    <x v="0"/>
    <n v="657776"/>
    <x v="2"/>
    <n v="2076"/>
    <x v="3"/>
    <n v="10380"/>
    <n v="4567.2"/>
    <n v="5812.8"/>
    <n v="56"/>
    <n v="5812.8"/>
  </r>
  <r>
    <x v="0"/>
    <n v="255145"/>
    <x v="1"/>
    <n v="2074"/>
    <x v="13"/>
    <n v="10370"/>
    <n v="4148"/>
    <n v="6222"/>
    <n v="60"/>
    <n v="6222"/>
  </r>
  <r>
    <x v="1"/>
    <n v="190154"/>
    <x v="2"/>
    <n v="2072"/>
    <x v="15"/>
    <n v="10360"/>
    <n v="4558.3999999999996"/>
    <n v="5801.6"/>
    <n v="56"/>
    <n v="5801.6"/>
  </r>
  <r>
    <x v="0"/>
    <n v="444725"/>
    <x v="2"/>
    <n v="2071"/>
    <x v="13"/>
    <n v="10355"/>
    <n v="4556.2"/>
    <n v="5798.8"/>
    <n v="56"/>
    <n v="5798.8"/>
  </r>
  <r>
    <x v="4"/>
    <n v="732442"/>
    <x v="3"/>
    <n v="2580"/>
    <x v="1"/>
    <n v="10320"/>
    <n v="3870"/>
    <n v="6450"/>
    <n v="62.5"/>
    <n v="6450"/>
  </r>
  <r>
    <x v="2"/>
    <n v="455417"/>
    <x v="3"/>
    <n v="2579"/>
    <x v="1"/>
    <n v="10316"/>
    <n v="3868.5"/>
    <n v="6447.5"/>
    <n v="62.5"/>
    <n v="6447.5"/>
  </r>
  <r>
    <x v="1"/>
    <n v="759173"/>
    <x v="3"/>
    <n v="2567"/>
    <x v="4"/>
    <n v="10268"/>
    <n v="3850.5"/>
    <n v="6417.5"/>
    <n v="62.5"/>
    <n v="6417.5"/>
  </r>
  <r>
    <x v="2"/>
    <n v="120233"/>
    <x v="2"/>
    <n v="2039"/>
    <x v="7"/>
    <n v="10195"/>
    <n v="4485.8"/>
    <n v="5709.2"/>
    <n v="56"/>
    <n v="5709.2"/>
  </r>
  <r>
    <x v="2"/>
    <n v="872825"/>
    <x v="1"/>
    <n v="2031"/>
    <x v="5"/>
    <n v="10155"/>
    <n v="4062"/>
    <n v="6093"/>
    <n v="60"/>
    <n v="6093"/>
  </r>
  <r>
    <x v="1"/>
    <n v="406431"/>
    <x v="3"/>
    <n v="2529"/>
    <x v="2"/>
    <n v="10116"/>
    <n v="3793.5"/>
    <n v="6322.5"/>
    <n v="62.5"/>
    <n v="6322.5"/>
  </r>
  <r>
    <x v="0"/>
    <n v="728960"/>
    <x v="3"/>
    <n v="2522"/>
    <x v="0"/>
    <n v="10086"/>
    <n v="3782.25"/>
    <n v="6303.75"/>
    <n v="62.5"/>
    <n v="6303.75"/>
  </r>
  <r>
    <x v="4"/>
    <n v="208984"/>
    <x v="2"/>
    <n v="2015"/>
    <x v="14"/>
    <n v="10075"/>
    <n v="4433"/>
    <n v="5642"/>
    <n v="56"/>
    <n v="5642"/>
  </r>
  <r>
    <x v="4"/>
    <n v="780708"/>
    <x v="1"/>
    <n v="2013"/>
    <x v="14"/>
    <n v="10065"/>
    <n v="4026"/>
    <n v="6039"/>
    <n v="60"/>
    <n v="6039"/>
  </r>
  <r>
    <x v="3"/>
    <n v="164895"/>
    <x v="1"/>
    <n v="2009"/>
    <x v="5"/>
    <n v="10045"/>
    <n v="4018"/>
    <n v="6027"/>
    <n v="60"/>
    <n v="6027"/>
  </r>
  <r>
    <x v="1"/>
    <n v="117162"/>
    <x v="1"/>
    <n v="2007"/>
    <x v="11"/>
    <n v="10035"/>
    <n v="4014"/>
    <n v="6021"/>
    <n v="60"/>
    <n v="6021"/>
  </r>
  <r>
    <x v="4"/>
    <n v="614031"/>
    <x v="0"/>
    <n v="1659"/>
    <x v="2"/>
    <n v="9954"/>
    <n v="4562.25"/>
    <n v="5391.75"/>
    <n v="54.17"/>
    <n v="5391.75"/>
  </r>
  <r>
    <x v="3"/>
    <n v="348955"/>
    <x v="3"/>
    <n v="2487"/>
    <x v="15"/>
    <n v="9948"/>
    <n v="3730.5"/>
    <n v="6217.5"/>
    <n v="62.5"/>
    <n v="6217.5"/>
  </r>
  <r>
    <x v="2"/>
    <n v="304546"/>
    <x v="2"/>
    <n v="1989"/>
    <x v="8"/>
    <n v="9945"/>
    <n v="4375.8"/>
    <n v="5569.2"/>
    <n v="56"/>
    <n v="5569.2"/>
  </r>
  <r>
    <x v="2"/>
    <n v="131249"/>
    <x v="2"/>
    <n v="1988"/>
    <x v="0"/>
    <n v="9937.5"/>
    <n v="4372.5"/>
    <n v="5565"/>
    <n v="56"/>
    <n v="5565"/>
  </r>
  <r>
    <x v="0"/>
    <n v="159484"/>
    <x v="1"/>
    <n v="1984"/>
    <x v="6"/>
    <n v="9920"/>
    <n v="3968"/>
    <n v="5952"/>
    <n v="60"/>
    <n v="5952"/>
  </r>
  <r>
    <x v="4"/>
    <n v="293680"/>
    <x v="3"/>
    <n v="2470"/>
    <x v="4"/>
    <n v="9880"/>
    <n v="3705"/>
    <n v="6175"/>
    <n v="62.5"/>
    <n v="6175"/>
  </r>
  <r>
    <x v="1"/>
    <n v="761356"/>
    <x v="1"/>
    <n v="1954"/>
    <x v="12"/>
    <n v="9770"/>
    <n v="3908"/>
    <n v="5862"/>
    <n v="60"/>
    <n v="5862"/>
  </r>
  <r>
    <x v="0"/>
    <n v="731074"/>
    <x v="2"/>
    <n v="1953"/>
    <x v="1"/>
    <n v="9765"/>
    <n v="4296.6000000000004"/>
    <n v="5468.4"/>
    <n v="56"/>
    <n v="5468.4"/>
  </r>
  <r>
    <x v="1"/>
    <n v="363487"/>
    <x v="3"/>
    <n v="2441"/>
    <x v="5"/>
    <n v="9764"/>
    <n v="3661.5"/>
    <n v="6102.5"/>
    <n v="62.5"/>
    <n v="6102.5"/>
  </r>
  <r>
    <x v="1"/>
    <n v="617395"/>
    <x v="4"/>
    <n v="3245"/>
    <x v="0"/>
    <n v="9733.5"/>
    <n v="4055.63"/>
    <n v="5677.88"/>
    <n v="58.33"/>
    <n v="5677.88"/>
  </r>
  <r>
    <x v="0"/>
    <n v="887888"/>
    <x v="1"/>
    <n v="1946"/>
    <x v="14"/>
    <n v="9730"/>
    <n v="3892"/>
    <n v="5838"/>
    <n v="60"/>
    <n v="5838"/>
  </r>
  <r>
    <x v="4"/>
    <n v="675075"/>
    <x v="1"/>
    <n v="1945"/>
    <x v="3"/>
    <n v="9725"/>
    <n v="3890"/>
    <n v="5835"/>
    <n v="60"/>
    <n v="5835"/>
  </r>
  <r>
    <x v="0"/>
    <n v="100553"/>
    <x v="1"/>
    <n v="1934"/>
    <x v="13"/>
    <n v="9670"/>
    <n v="3868"/>
    <n v="5802"/>
    <n v="60"/>
    <n v="5802"/>
  </r>
  <r>
    <x v="0"/>
    <n v="105566"/>
    <x v="3"/>
    <n v="2416"/>
    <x v="8"/>
    <n v="9664"/>
    <n v="3624"/>
    <n v="6040"/>
    <n v="62.5"/>
    <n v="6040"/>
  </r>
  <r>
    <x v="1"/>
    <n v="793514"/>
    <x v="1"/>
    <n v="1925"/>
    <x v="14"/>
    <n v="9625"/>
    <n v="3850"/>
    <n v="5775"/>
    <n v="60"/>
    <n v="5775"/>
  </r>
  <r>
    <x v="1"/>
    <n v="364025"/>
    <x v="1"/>
    <n v="1922"/>
    <x v="11"/>
    <n v="9610"/>
    <n v="3844"/>
    <n v="5766"/>
    <n v="60"/>
    <n v="5766"/>
  </r>
  <r>
    <x v="0"/>
    <n v="580583"/>
    <x v="2"/>
    <n v="1916"/>
    <x v="15"/>
    <n v="9580"/>
    <n v="4215.2"/>
    <n v="5364.8"/>
    <n v="56"/>
    <n v="5364.8"/>
  </r>
  <r>
    <x v="1"/>
    <n v="778039"/>
    <x v="1"/>
    <n v="1916"/>
    <x v="15"/>
    <n v="9580"/>
    <n v="3832"/>
    <n v="5748"/>
    <n v="60"/>
    <n v="5748"/>
  </r>
  <r>
    <x v="0"/>
    <n v="748204"/>
    <x v="0"/>
    <n v="1596"/>
    <x v="13"/>
    <n v="9576"/>
    <n v="4389"/>
    <n v="5187"/>
    <n v="54.17"/>
    <n v="5187"/>
  </r>
  <r>
    <x v="0"/>
    <n v="788478"/>
    <x v="2"/>
    <n v="1907"/>
    <x v="13"/>
    <n v="9535"/>
    <n v="4195.3999999999996"/>
    <n v="5339.6"/>
    <n v="56"/>
    <n v="5339.6"/>
  </r>
  <r>
    <x v="4"/>
    <n v="296424"/>
    <x v="1"/>
    <n v="1901"/>
    <x v="4"/>
    <n v="9505"/>
    <n v="3802"/>
    <n v="5703"/>
    <n v="60"/>
    <n v="5703"/>
  </r>
  <r>
    <x v="0"/>
    <n v="609228"/>
    <x v="2"/>
    <n v="1899"/>
    <x v="4"/>
    <n v="9495"/>
    <n v="4177.8"/>
    <n v="5317.2"/>
    <n v="56"/>
    <n v="5317.2"/>
  </r>
  <r>
    <x v="3"/>
    <n v="818350"/>
    <x v="0"/>
    <n v="1582"/>
    <x v="15"/>
    <n v="9492"/>
    <n v="4350.5"/>
    <n v="5141.5"/>
    <n v="54.17"/>
    <n v="5141.5"/>
  </r>
  <r>
    <x v="0"/>
    <n v="355971"/>
    <x v="0"/>
    <n v="1579"/>
    <x v="6"/>
    <n v="9474"/>
    <n v="4342.25"/>
    <n v="5131.75"/>
    <n v="54.17"/>
    <n v="5131.75"/>
  </r>
  <r>
    <x v="4"/>
    <n v="674043"/>
    <x v="0"/>
    <n v="1575"/>
    <x v="9"/>
    <n v="9450"/>
    <n v="4331.25"/>
    <n v="5118.75"/>
    <n v="54.17"/>
    <n v="5118.75"/>
  </r>
  <r>
    <x v="3"/>
    <n v="149035"/>
    <x v="0"/>
    <n v="1566"/>
    <x v="5"/>
    <n v="9396"/>
    <n v="4306.5"/>
    <n v="5089.5"/>
    <n v="54.17"/>
    <n v="5089.5"/>
  </r>
  <r>
    <x v="3"/>
    <n v="227896"/>
    <x v="2"/>
    <n v="1870"/>
    <x v="11"/>
    <n v="9350"/>
    <n v="4114"/>
    <n v="5236"/>
    <n v="56"/>
    <n v="5236"/>
  </r>
  <r>
    <x v="2"/>
    <n v="283163"/>
    <x v="2"/>
    <n v="1865"/>
    <x v="9"/>
    <n v="9325"/>
    <n v="4103"/>
    <n v="5222"/>
    <n v="56"/>
    <n v="5222"/>
  </r>
  <r>
    <x v="4"/>
    <n v="643742"/>
    <x v="0"/>
    <n v="1545"/>
    <x v="4"/>
    <n v="9270"/>
    <n v="4248.75"/>
    <n v="5021.25"/>
    <n v="54.17"/>
    <n v="5021.25"/>
  </r>
  <r>
    <x v="2"/>
    <n v="632637"/>
    <x v="3"/>
    <n v="2300"/>
    <x v="15"/>
    <n v="9200"/>
    <n v="3450"/>
    <n v="5750"/>
    <n v="62.5"/>
    <n v="5750"/>
  </r>
  <r>
    <x v="2"/>
    <n v="288662"/>
    <x v="3"/>
    <n v="2299"/>
    <x v="3"/>
    <n v="9196"/>
    <n v="3448.5"/>
    <n v="5747.5"/>
    <n v="62.5"/>
    <n v="5747.5"/>
  </r>
  <r>
    <x v="1"/>
    <n v="374150"/>
    <x v="0"/>
    <n v="1530"/>
    <x v="7"/>
    <n v="9180"/>
    <n v="4207.5"/>
    <n v="4972.5"/>
    <n v="54.17"/>
    <n v="4972.5"/>
  </r>
  <r>
    <x v="2"/>
    <n v="534742"/>
    <x v="1"/>
    <n v="1823"/>
    <x v="2"/>
    <n v="9115"/>
    <n v="3646"/>
    <n v="5469"/>
    <n v="60"/>
    <n v="5469"/>
  </r>
  <r>
    <x v="2"/>
    <n v="481875"/>
    <x v="1"/>
    <n v="1817"/>
    <x v="15"/>
    <n v="9085"/>
    <n v="3634"/>
    <n v="5451"/>
    <n v="60"/>
    <n v="5451"/>
  </r>
  <r>
    <x v="2"/>
    <n v="348194"/>
    <x v="1"/>
    <n v="1802"/>
    <x v="14"/>
    <n v="9010"/>
    <n v="3604"/>
    <n v="5406"/>
    <n v="60"/>
    <n v="5406"/>
  </r>
  <r>
    <x v="0"/>
    <n v="625104"/>
    <x v="0"/>
    <n v="1498"/>
    <x v="4"/>
    <n v="8988"/>
    <n v="4119.5"/>
    <n v="4868.5"/>
    <n v="54.17"/>
    <n v="4868.5"/>
  </r>
  <r>
    <x v="3"/>
    <n v="250308"/>
    <x v="0"/>
    <n v="1496"/>
    <x v="4"/>
    <n v="8976"/>
    <n v="4114"/>
    <n v="4862"/>
    <n v="54.17"/>
    <n v="4862"/>
  </r>
  <r>
    <x v="3"/>
    <n v="616386"/>
    <x v="0"/>
    <n v="1493"/>
    <x v="0"/>
    <n v="8958"/>
    <n v="4105.75"/>
    <n v="4852.25"/>
    <n v="54.17"/>
    <n v="4852.25"/>
  </r>
  <r>
    <x v="4"/>
    <n v="303687"/>
    <x v="1"/>
    <n v="1785"/>
    <x v="11"/>
    <n v="8925"/>
    <n v="3570"/>
    <n v="5355"/>
    <n v="60"/>
    <n v="5355"/>
  </r>
  <r>
    <x v="3"/>
    <n v="733366"/>
    <x v="2"/>
    <n v="1778"/>
    <x v="14"/>
    <n v="8890"/>
    <n v="3911.6"/>
    <n v="4978.3999999999996"/>
    <n v="56"/>
    <n v="4978.3999999999996"/>
  </r>
  <r>
    <x v="0"/>
    <n v="839631"/>
    <x v="1"/>
    <n v="1775"/>
    <x v="11"/>
    <n v="8875"/>
    <n v="3550"/>
    <n v="5325"/>
    <n v="60"/>
    <n v="5325"/>
  </r>
  <r>
    <x v="4"/>
    <n v="779279"/>
    <x v="1"/>
    <n v="1774"/>
    <x v="12"/>
    <n v="8870"/>
    <n v="3548"/>
    <n v="5322"/>
    <n v="60"/>
    <n v="5322"/>
  </r>
  <r>
    <x v="2"/>
    <n v="780393"/>
    <x v="4"/>
    <n v="2954"/>
    <x v="11"/>
    <n v="8862"/>
    <n v="3692.5"/>
    <n v="5169.5"/>
    <n v="58.33"/>
    <n v="5169.5"/>
  </r>
  <r>
    <x v="0"/>
    <n v="786473"/>
    <x v="2"/>
    <n v="1770"/>
    <x v="14"/>
    <n v="8850"/>
    <n v="3894"/>
    <n v="4956"/>
    <n v="56"/>
    <n v="4956"/>
  </r>
  <r>
    <x v="2"/>
    <n v="544855"/>
    <x v="1"/>
    <n v="1767"/>
    <x v="13"/>
    <n v="8835"/>
    <n v="3534"/>
    <n v="5301"/>
    <n v="60"/>
    <n v="5301"/>
  </r>
  <r>
    <x v="3"/>
    <n v="856913"/>
    <x v="4"/>
    <n v="2935"/>
    <x v="11"/>
    <n v="8805"/>
    <n v="3668.75"/>
    <n v="5136.25"/>
    <n v="58.33"/>
    <n v="5136.25"/>
  </r>
  <r>
    <x v="4"/>
    <n v="141665"/>
    <x v="1"/>
    <n v="1760"/>
    <x v="8"/>
    <n v="8800"/>
    <n v="3520"/>
    <n v="5280"/>
    <n v="60"/>
    <n v="5280"/>
  </r>
  <r>
    <x v="0"/>
    <n v="464499"/>
    <x v="0"/>
    <n v="1465"/>
    <x v="12"/>
    <n v="8790"/>
    <n v="4028.75"/>
    <n v="4761.25"/>
    <n v="54.17"/>
    <n v="4761.25"/>
  </r>
  <r>
    <x v="2"/>
    <n v="676135"/>
    <x v="1"/>
    <n v="1757"/>
    <x v="3"/>
    <n v="8785"/>
    <n v="3514"/>
    <n v="5271"/>
    <n v="60"/>
    <n v="5271"/>
  </r>
  <r>
    <x v="3"/>
    <n v="310429"/>
    <x v="3"/>
    <n v="2181"/>
    <x v="5"/>
    <n v="8724"/>
    <n v="3271.5"/>
    <n v="5452.5"/>
    <n v="62.5"/>
    <n v="5452.5"/>
  </r>
  <r>
    <x v="3"/>
    <n v="520865"/>
    <x v="1"/>
    <n v="1743"/>
    <x v="3"/>
    <n v="8715"/>
    <n v="3486"/>
    <n v="5229"/>
    <n v="60"/>
    <n v="5229"/>
  </r>
  <r>
    <x v="2"/>
    <n v="796346"/>
    <x v="1"/>
    <n v="1743"/>
    <x v="6"/>
    <n v="8715"/>
    <n v="3486"/>
    <n v="5229"/>
    <n v="60"/>
    <n v="5229"/>
  </r>
  <r>
    <x v="1"/>
    <n v="594129"/>
    <x v="2"/>
    <n v="1743"/>
    <x v="3"/>
    <n v="8715"/>
    <n v="3834.6"/>
    <n v="4880.3999999999996"/>
    <n v="56"/>
    <n v="4880.3999999999996"/>
  </r>
  <r>
    <x v="1"/>
    <n v="649737"/>
    <x v="3"/>
    <n v="2178"/>
    <x v="4"/>
    <n v="8712"/>
    <n v="3267"/>
    <n v="5445"/>
    <n v="62.5"/>
    <n v="5445"/>
  </r>
  <r>
    <x v="3"/>
    <n v="800536"/>
    <x v="4"/>
    <n v="2903"/>
    <x v="12"/>
    <n v="8709"/>
    <n v="3628.75"/>
    <n v="5080.25"/>
    <n v="58.33"/>
    <n v="5080.25"/>
  </r>
  <r>
    <x v="3"/>
    <n v="429735"/>
    <x v="1"/>
    <n v="1731"/>
    <x v="5"/>
    <n v="8655"/>
    <n v="3462"/>
    <n v="5193"/>
    <n v="60"/>
    <n v="5193"/>
  </r>
  <r>
    <x v="1"/>
    <n v="707748"/>
    <x v="2"/>
    <n v="1731"/>
    <x v="5"/>
    <n v="8655"/>
    <n v="3808.2"/>
    <n v="4846.8"/>
    <n v="56"/>
    <n v="4846.8"/>
  </r>
  <r>
    <x v="0"/>
    <n v="365463"/>
    <x v="1"/>
    <n v="1728"/>
    <x v="7"/>
    <n v="8640"/>
    <n v="3456"/>
    <n v="5184"/>
    <n v="60"/>
    <n v="5184"/>
  </r>
  <r>
    <x v="4"/>
    <n v="225353"/>
    <x v="2"/>
    <n v="1727"/>
    <x v="3"/>
    <n v="8635"/>
    <n v="3799.4"/>
    <n v="4835.6000000000004"/>
    <n v="56"/>
    <n v="4835.6000000000004"/>
  </r>
  <r>
    <x v="2"/>
    <n v="439635"/>
    <x v="4"/>
    <n v="2877"/>
    <x v="5"/>
    <n v="8631"/>
    <n v="3596.25"/>
    <n v="5034.75"/>
    <n v="58.33"/>
    <n v="5034.75"/>
  </r>
  <r>
    <x v="2"/>
    <n v="289811"/>
    <x v="1"/>
    <n v="1725"/>
    <x v="11"/>
    <n v="8625"/>
    <n v="3450"/>
    <n v="5175"/>
    <n v="60"/>
    <n v="5175"/>
  </r>
  <r>
    <x v="2"/>
    <n v="694579"/>
    <x v="3"/>
    <n v="2156"/>
    <x v="5"/>
    <n v="8624"/>
    <n v="3234"/>
    <n v="5390"/>
    <n v="62.5"/>
    <n v="5390"/>
  </r>
  <r>
    <x v="2"/>
    <n v="338090"/>
    <x v="3"/>
    <n v="2155"/>
    <x v="15"/>
    <n v="8620"/>
    <n v="3232.5"/>
    <n v="5387.5"/>
    <n v="62.5"/>
    <n v="5387.5"/>
  </r>
  <r>
    <x v="2"/>
    <n v="403455"/>
    <x v="3"/>
    <n v="2145"/>
    <x v="11"/>
    <n v="8580"/>
    <n v="3217.5"/>
    <n v="5362.5"/>
    <n v="62.5"/>
    <n v="5362.5"/>
  </r>
  <r>
    <x v="3"/>
    <n v="885201"/>
    <x v="1"/>
    <n v="1715"/>
    <x v="3"/>
    <n v="8575"/>
    <n v="3430"/>
    <n v="5145"/>
    <n v="60"/>
    <n v="5145"/>
  </r>
  <r>
    <x v="4"/>
    <n v="632111"/>
    <x v="4"/>
    <n v="2844"/>
    <x v="9"/>
    <n v="8532"/>
    <n v="3555"/>
    <n v="4977"/>
    <n v="58.33"/>
    <n v="4977"/>
  </r>
  <r>
    <x v="3"/>
    <n v="701669"/>
    <x v="4"/>
    <n v="2844"/>
    <x v="4"/>
    <n v="8532"/>
    <n v="3555"/>
    <n v="4977"/>
    <n v="58.33"/>
    <n v="4977"/>
  </r>
  <r>
    <x v="3"/>
    <n v="566401"/>
    <x v="1"/>
    <n v="1706"/>
    <x v="15"/>
    <n v="8530"/>
    <n v="3412"/>
    <n v="5118"/>
    <n v="60"/>
    <n v="5118"/>
  </r>
  <r>
    <x v="3"/>
    <n v="562718"/>
    <x v="0"/>
    <n v="1421"/>
    <x v="14"/>
    <n v="8526"/>
    <n v="3907.75"/>
    <n v="4618.25"/>
    <n v="54.17"/>
    <n v="4618.25"/>
  </r>
  <r>
    <x v="0"/>
    <n v="355287"/>
    <x v="4"/>
    <n v="2838"/>
    <x v="1"/>
    <n v="8514"/>
    <n v="3547.5"/>
    <n v="4966.5"/>
    <n v="58.33"/>
    <n v="4966.5"/>
  </r>
  <r>
    <x v="4"/>
    <n v="283491"/>
    <x v="1"/>
    <n v="1702"/>
    <x v="7"/>
    <n v="8510"/>
    <n v="3404"/>
    <n v="5106"/>
    <n v="60"/>
    <n v="5106"/>
  </r>
  <r>
    <x v="0"/>
    <n v="686661"/>
    <x v="2"/>
    <n v="1694"/>
    <x v="10"/>
    <n v="8470"/>
    <n v="3726.8"/>
    <n v="4743.2"/>
    <n v="56"/>
    <n v="4743.2"/>
  </r>
  <r>
    <x v="0"/>
    <n v="754791"/>
    <x v="2"/>
    <n v="1686"/>
    <x v="2"/>
    <n v="8430"/>
    <n v="3709.2"/>
    <n v="4720.8"/>
    <n v="56"/>
    <n v="4720.8"/>
  </r>
  <r>
    <x v="3"/>
    <n v="363822"/>
    <x v="4"/>
    <n v="2807"/>
    <x v="6"/>
    <n v="8421"/>
    <n v="3508.75"/>
    <n v="4912.25"/>
    <n v="58.33"/>
    <n v="4912.25"/>
  </r>
  <r>
    <x v="0"/>
    <n v="602865"/>
    <x v="2"/>
    <n v="1683"/>
    <x v="2"/>
    <n v="8415"/>
    <n v="3702.6"/>
    <n v="4712.3999999999996"/>
    <n v="56"/>
    <n v="4712.3999999999996"/>
  </r>
  <r>
    <x v="0"/>
    <n v="551372"/>
    <x v="2"/>
    <n v="1679"/>
    <x v="13"/>
    <n v="8395"/>
    <n v="3693.8"/>
    <n v="4701.2"/>
    <n v="56"/>
    <n v="4701.2"/>
  </r>
  <r>
    <x v="3"/>
    <n v="638098"/>
    <x v="0"/>
    <n v="1395"/>
    <x v="2"/>
    <n v="8370"/>
    <n v="3836.25"/>
    <n v="4533.75"/>
    <n v="54.17"/>
    <n v="4533.75"/>
  </r>
  <r>
    <x v="4"/>
    <n v="665489"/>
    <x v="2"/>
    <n v="1659"/>
    <x v="0"/>
    <n v="8295"/>
    <n v="3649.8"/>
    <n v="4645.2"/>
    <n v="56"/>
    <n v="4645.2"/>
  </r>
  <r>
    <x v="1"/>
    <n v="210209"/>
    <x v="4"/>
    <n v="2747"/>
    <x v="9"/>
    <n v="8241"/>
    <n v="3433.75"/>
    <n v="4807.25"/>
    <n v="58.33"/>
    <n v="4807.25"/>
  </r>
  <r>
    <x v="2"/>
    <n v="640346"/>
    <x v="0"/>
    <n v="1372"/>
    <x v="15"/>
    <n v="8232"/>
    <n v="3773"/>
    <n v="4459"/>
    <n v="54.17"/>
    <n v="4459"/>
  </r>
  <r>
    <x v="0"/>
    <n v="493427"/>
    <x v="2"/>
    <n v="1645"/>
    <x v="7"/>
    <n v="8225"/>
    <n v="3619"/>
    <n v="4606"/>
    <n v="56"/>
    <n v="4606"/>
  </r>
  <r>
    <x v="2"/>
    <n v="752965"/>
    <x v="4"/>
    <n v="2729"/>
    <x v="15"/>
    <n v="8187"/>
    <n v="3411.25"/>
    <n v="4775.75"/>
    <n v="58.33"/>
    <n v="4775.75"/>
  </r>
  <r>
    <x v="2"/>
    <n v="571542"/>
    <x v="2"/>
    <n v="1631"/>
    <x v="2"/>
    <n v="8152.5"/>
    <n v="3587.1"/>
    <n v="4565.3999999999996"/>
    <n v="56"/>
    <n v="4565.3999999999996"/>
  </r>
  <r>
    <x v="2"/>
    <n v="768268"/>
    <x v="3"/>
    <n v="2030"/>
    <x v="10"/>
    <n v="8120"/>
    <n v="3045"/>
    <n v="5075"/>
    <n v="62.5"/>
    <n v="5075"/>
  </r>
  <r>
    <x v="2"/>
    <n v="725869"/>
    <x v="3"/>
    <n v="2021"/>
    <x v="5"/>
    <n v="8084"/>
    <n v="3031.5"/>
    <n v="5052.5"/>
    <n v="62.5"/>
    <n v="5052.5"/>
  </r>
  <r>
    <x v="0"/>
    <n v="216326"/>
    <x v="1"/>
    <n v="1614"/>
    <x v="1"/>
    <n v="8070"/>
    <n v="3228"/>
    <n v="4842"/>
    <n v="60"/>
    <n v="4842"/>
  </r>
  <r>
    <x v="1"/>
    <n v="639651"/>
    <x v="4"/>
    <n v="2689"/>
    <x v="5"/>
    <n v="8067"/>
    <n v="3361.25"/>
    <n v="4705.75"/>
    <n v="58.33"/>
    <n v="4705.75"/>
  </r>
  <r>
    <x v="2"/>
    <n v="750389"/>
    <x v="4"/>
    <n v="2682"/>
    <x v="11"/>
    <n v="8046"/>
    <n v="3352.5"/>
    <n v="4693.5"/>
    <n v="58.33"/>
    <n v="4693.5"/>
  </r>
  <r>
    <x v="4"/>
    <n v="218291"/>
    <x v="1"/>
    <n v="1607"/>
    <x v="1"/>
    <n v="8035"/>
    <n v="3214"/>
    <n v="4821"/>
    <n v="60"/>
    <n v="4821"/>
  </r>
  <r>
    <x v="0"/>
    <n v="169621"/>
    <x v="0"/>
    <n v="1333"/>
    <x v="10"/>
    <n v="7998"/>
    <n v="3665.75"/>
    <n v="4332.25"/>
    <n v="54.17"/>
    <n v="4332.25"/>
  </r>
  <r>
    <x v="0"/>
    <n v="513469"/>
    <x v="1"/>
    <n v="1598"/>
    <x v="6"/>
    <n v="7990"/>
    <n v="3196"/>
    <n v="4794"/>
    <n v="60"/>
    <n v="4794"/>
  </r>
  <r>
    <x v="3"/>
    <n v="774130"/>
    <x v="4"/>
    <n v="2663"/>
    <x v="15"/>
    <n v="7989"/>
    <n v="3328.75"/>
    <n v="4660.25"/>
    <n v="58.33"/>
    <n v="4660.25"/>
  </r>
  <r>
    <x v="1"/>
    <n v="184366"/>
    <x v="4"/>
    <n v="2659"/>
    <x v="9"/>
    <n v="7977"/>
    <n v="3323.75"/>
    <n v="4653.25"/>
    <n v="58.33"/>
    <n v="4653.25"/>
  </r>
  <r>
    <x v="1"/>
    <n v="559510"/>
    <x v="1"/>
    <n v="1594"/>
    <x v="10"/>
    <n v="7970"/>
    <n v="3188"/>
    <n v="4782"/>
    <n v="60"/>
    <n v="4782"/>
  </r>
  <r>
    <x v="2"/>
    <n v="670662"/>
    <x v="1"/>
    <n v="1583"/>
    <x v="4"/>
    <n v="7915"/>
    <n v="3166"/>
    <n v="4749"/>
    <n v="60"/>
    <n v="4749"/>
  </r>
  <r>
    <x v="0"/>
    <n v="365552"/>
    <x v="1"/>
    <n v="1570"/>
    <x v="4"/>
    <n v="7850"/>
    <n v="3140"/>
    <n v="4710"/>
    <n v="60"/>
    <n v="4710"/>
  </r>
  <r>
    <x v="2"/>
    <n v="696979"/>
    <x v="0"/>
    <n v="1307"/>
    <x v="2"/>
    <n v="7842"/>
    <n v="3594.25"/>
    <n v="4247.75"/>
    <n v="54.17"/>
    <n v="4247.75"/>
  </r>
  <r>
    <x v="1"/>
    <n v="626543"/>
    <x v="1"/>
    <n v="1565"/>
    <x v="5"/>
    <n v="7825"/>
    <n v="3130"/>
    <n v="4695"/>
    <n v="60"/>
    <n v="4695"/>
  </r>
  <r>
    <x v="0"/>
    <n v="863607"/>
    <x v="3"/>
    <n v="1947"/>
    <x v="13"/>
    <n v="7788"/>
    <n v="2920.5"/>
    <n v="4867.5"/>
    <n v="62.5"/>
    <n v="4867.5"/>
  </r>
  <r>
    <x v="4"/>
    <n v="241164"/>
    <x v="3"/>
    <n v="1937"/>
    <x v="9"/>
    <n v="7748"/>
    <n v="2905.5"/>
    <n v="4842.5"/>
    <n v="62.5"/>
    <n v="4842.5"/>
  </r>
  <r>
    <x v="3"/>
    <n v="384410"/>
    <x v="4"/>
    <n v="2567"/>
    <x v="4"/>
    <n v="7701"/>
    <n v="3208.75"/>
    <n v="4492.25"/>
    <n v="58.33"/>
    <n v="4492.25"/>
  </r>
  <r>
    <x v="0"/>
    <n v="293863"/>
    <x v="1"/>
    <n v="1535"/>
    <x v="13"/>
    <n v="7675"/>
    <n v="3070"/>
    <n v="4605"/>
    <n v="60"/>
    <n v="4605"/>
  </r>
  <r>
    <x v="0"/>
    <n v="143923"/>
    <x v="1"/>
    <n v="1531"/>
    <x v="15"/>
    <n v="7655"/>
    <n v="3062"/>
    <n v="4593"/>
    <n v="60"/>
    <n v="4593"/>
  </r>
  <r>
    <x v="0"/>
    <n v="444518"/>
    <x v="4"/>
    <n v="2541"/>
    <x v="6"/>
    <n v="7623"/>
    <n v="3176.25"/>
    <n v="4446.75"/>
    <n v="58.33"/>
    <n v="4446.75"/>
  </r>
  <r>
    <x v="0"/>
    <n v="447945"/>
    <x v="0"/>
    <n v="1269"/>
    <x v="5"/>
    <n v="7614"/>
    <n v="3489.75"/>
    <n v="4124.25"/>
    <n v="54.17"/>
    <n v="4124.25"/>
  </r>
  <r>
    <x v="1"/>
    <n v="872307"/>
    <x v="2"/>
    <n v="1520"/>
    <x v="10"/>
    <n v="7600"/>
    <n v="3344"/>
    <n v="4256"/>
    <n v="56"/>
    <n v="4256"/>
  </r>
  <r>
    <x v="3"/>
    <n v="820943"/>
    <x v="4"/>
    <n v="2529"/>
    <x v="10"/>
    <n v="7587"/>
    <n v="3161.25"/>
    <n v="4425.75"/>
    <n v="58.33"/>
    <n v="4425.75"/>
  </r>
  <r>
    <x v="0"/>
    <n v="636371"/>
    <x v="0"/>
    <n v="1262"/>
    <x v="7"/>
    <n v="7572"/>
    <n v="3470.5"/>
    <n v="4101.5"/>
    <n v="54.17"/>
    <n v="4101.5"/>
  </r>
  <r>
    <x v="0"/>
    <n v="538134"/>
    <x v="1"/>
    <n v="1514"/>
    <x v="3"/>
    <n v="7570"/>
    <n v="3028"/>
    <n v="4542"/>
    <n v="60"/>
    <n v="4542"/>
  </r>
  <r>
    <x v="0"/>
    <n v="562219"/>
    <x v="1"/>
    <n v="1514"/>
    <x v="9"/>
    <n v="7570"/>
    <n v="3028"/>
    <n v="4542"/>
    <n v="60"/>
    <n v="4542"/>
  </r>
  <r>
    <x v="0"/>
    <n v="183251"/>
    <x v="1"/>
    <n v="1513"/>
    <x v="15"/>
    <n v="7565"/>
    <n v="3026"/>
    <n v="4539"/>
    <n v="60"/>
    <n v="4539"/>
  </r>
  <r>
    <x v="4"/>
    <n v="572044"/>
    <x v="3"/>
    <n v="1884"/>
    <x v="6"/>
    <n v="7536"/>
    <n v="2826"/>
    <n v="4710"/>
    <n v="62.5"/>
    <n v="4710"/>
  </r>
  <r>
    <x v="3"/>
    <n v="553803"/>
    <x v="0"/>
    <n v="1250"/>
    <x v="15"/>
    <n v="7500"/>
    <n v="3437.5"/>
    <n v="4062.5"/>
    <n v="54.17"/>
    <n v="4062.5"/>
  </r>
  <r>
    <x v="0"/>
    <n v="568366"/>
    <x v="1"/>
    <n v="1496"/>
    <x v="4"/>
    <n v="7480"/>
    <n v="2992"/>
    <n v="4488"/>
    <n v="60"/>
    <n v="4488"/>
  </r>
  <r>
    <x v="1"/>
    <n v="792599"/>
    <x v="4"/>
    <n v="2487"/>
    <x v="15"/>
    <n v="7461"/>
    <n v="3108.75"/>
    <n v="4352.25"/>
    <n v="58.33"/>
    <n v="4352.25"/>
  </r>
  <r>
    <x v="0"/>
    <n v="449939"/>
    <x v="3"/>
    <n v="1865"/>
    <x v="9"/>
    <n v="7460"/>
    <n v="2797.5"/>
    <n v="4662.5"/>
    <n v="62.5"/>
    <n v="4662.5"/>
  </r>
  <r>
    <x v="3"/>
    <n v="444395"/>
    <x v="4"/>
    <n v="2479"/>
    <x v="0"/>
    <n v="7437"/>
    <n v="3098.75"/>
    <n v="4338.25"/>
    <n v="58.33"/>
    <n v="4338.25"/>
  </r>
  <r>
    <x v="0"/>
    <n v="161388"/>
    <x v="3"/>
    <n v="1858"/>
    <x v="9"/>
    <n v="7432"/>
    <n v="2787"/>
    <n v="4645"/>
    <n v="62.5"/>
    <n v="4645"/>
  </r>
  <r>
    <x v="2"/>
    <n v="119027"/>
    <x v="3"/>
    <n v="1834"/>
    <x v="8"/>
    <n v="7336"/>
    <n v="2751"/>
    <n v="4585"/>
    <n v="62.5"/>
    <n v="4585"/>
  </r>
  <r>
    <x v="0"/>
    <n v="669715"/>
    <x v="0"/>
    <n v="1221"/>
    <x v="3"/>
    <n v="7326"/>
    <n v="3357.75"/>
    <n v="3968.25"/>
    <n v="54.17"/>
    <n v="3968.25"/>
  </r>
  <r>
    <x v="1"/>
    <n v="562962"/>
    <x v="4"/>
    <n v="2436"/>
    <x v="14"/>
    <n v="7308"/>
    <n v="3045"/>
    <n v="4263"/>
    <n v="58.33"/>
    <n v="4263"/>
  </r>
  <r>
    <x v="0"/>
    <n v="710711"/>
    <x v="1"/>
    <n v="1439"/>
    <x v="0"/>
    <n v="7192.5"/>
    <n v="2877"/>
    <n v="4315.5"/>
    <n v="60"/>
    <n v="4315.5"/>
  </r>
  <r>
    <x v="0"/>
    <n v="821698"/>
    <x v="2"/>
    <n v="1433"/>
    <x v="7"/>
    <n v="7165"/>
    <n v="3152.6"/>
    <n v="4012.4"/>
    <n v="56"/>
    <n v="4012.4"/>
  </r>
  <r>
    <x v="3"/>
    <n v="601126"/>
    <x v="4"/>
    <n v="2387"/>
    <x v="10"/>
    <n v="7161"/>
    <n v="2983.75"/>
    <n v="4177.25"/>
    <n v="58.33"/>
    <n v="4177.25"/>
  </r>
  <r>
    <x v="0"/>
    <n v="317699"/>
    <x v="3"/>
    <n v="1790"/>
    <x v="12"/>
    <n v="7160"/>
    <n v="2685"/>
    <n v="4475"/>
    <n v="62.5"/>
    <n v="4475"/>
  </r>
  <r>
    <x v="0"/>
    <n v="168032"/>
    <x v="0"/>
    <n v="1190"/>
    <x v="4"/>
    <n v="7140"/>
    <n v="3272.5"/>
    <n v="3867.5"/>
    <n v="54.17"/>
    <n v="3867.5"/>
  </r>
  <r>
    <x v="2"/>
    <n v="595670"/>
    <x v="1"/>
    <n v="1415"/>
    <x v="1"/>
    <n v="7072.5"/>
    <n v="2829"/>
    <n v="4243.5"/>
    <n v="60"/>
    <n v="4243.5"/>
  </r>
  <r>
    <x v="4"/>
    <n v="345233"/>
    <x v="3"/>
    <n v="1761"/>
    <x v="12"/>
    <n v="7044"/>
    <n v="2641.5"/>
    <n v="4402.5"/>
    <n v="62.5"/>
    <n v="4402.5"/>
  </r>
  <r>
    <x v="0"/>
    <n v="521535"/>
    <x v="1"/>
    <n v="1404"/>
    <x v="11"/>
    <n v="7020"/>
    <n v="2808"/>
    <n v="4212"/>
    <n v="60"/>
    <n v="4212"/>
  </r>
  <r>
    <x v="0"/>
    <n v="504962"/>
    <x v="2"/>
    <n v="1403"/>
    <x v="3"/>
    <n v="7015"/>
    <n v="3086.6"/>
    <n v="3928.4"/>
    <n v="56"/>
    <n v="3928.4"/>
  </r>
  <r>
    <x v="0"/>
    <n v="406234"/>
    <x v="4"/>
    <n v="2338"/>
    <x v="4"/>
    <n v="7014"/>
    <n v="2922.5"/>
    <n v="4091.5"/>
    <n v="58.33"/>
    <n v="4091.5"/>
  </r>
  <r>
    <x v="0"/>
    <n v="759484"/>
    <x v="3"/>
    <n v="1743"/>
    <x v="7"/>
    <n v="6972"/>
    <n v="2614.5"/>
    <n v="4357.5"/>
    <n v="62.5"/>
    <n v="4357.5"/>
  </r>
  <r>
    <x v="3"/>
    <n v="158597"/>
    <x v="1"/>
    <n v="1393"/>
    <x v="5"/>
    <n v="6965"/>
    <n v="2786"/>
    <n v="4179"/>
    <n v="60"/>
    <n v="4179"/>
  </r>
  <r>
    <x v="0"/>
    <n v="540063"/>
    <x v="2"/>
    <n v="1393"/>
    <x v="5"/>
    <n v="6965"/>
    <n v="3064.6"/>
    <n v="3900.4"/>
    <n v="56"/>
    <n v="3900.4"/>
  </r>
  <r>
    <x v="0"/>
    <n v="691331"/>
    <x v="1"/>
    <n v="1389"/>
    <x v="3"/>
    <n v="6945"/>
    <n v="2778"/>
    <n v="4167"/>
    <n v="60"/>
    <n v="4167"/>
  </r>
  <r>
    <x v="4"/>
    <n v="872775"/>
    <x v="4"/>
    <n v="2297"/>
    <x v="11"/>
    <n v="6891"/>
    <n v="2871.25"/>
    <n v="4019.75"/>
    <n v="58.33"/>
    <n v="4019.75"/>
  </r>
  <r>
    <x v="3"/>
    <n v="540189"/>
    <x v="4"/>
    <n v="2294"/>
    <x v="3"/>
    <n v="6882"/>
    <n v="2867.5"/>
    <n v="4014.5"/>
    <n v="58.33"/>
    <n v="4014.5"/>
  </r>
  <r>
    <x v="2"/>
    <n v="545954"/>
    <x v="2"/>
    <n v="1375"/>
    <x v="14"/>
    <n v="6875"/>
    <n v="3025"/>
    <n v="3850"/>
    <n v="56"/>
    <n v="3850"/>
  </r>
  <r>
    <x v="4"/>
    <n v="631270"/>
    <x v="1"/>
    <n v="1372"/>
    <x v="0"/>
    <n v="6860"/>
    <n v="2744"/>
    <n v="4116"/>
    <n v="60"/>
    <n v="4116"/>
  </r>
  <r>
    <x v="1"/>
    <n v="560670"/>
    <x v="2"/>
    <n v="1372"/>
    <x v="15"/>
    <n v="6860"/>
    <n v="3018.4"/>
    <n v="3841.6"/>
    <n v="56"/>
    <n v="3841.6"/>
  </r>
  <r>
    <x v="2"/>
    <n v="713958"/>
    <x v="1"/>
    <n v="1370"/>
    <x v="2"/>
    <n v="6847.5"/>
    <n v="2739"/>
    <n v="4108.5"/>
    <n v="60"/>
    <n v="4108.5"/>
  </r>
  <r>
    <x v="0"/>
    <n v="418690"/>
    <x v="1"/>
    <n v="1366"/>
    <x v="4"/>
    <n v="6830"/>
    <n v="2732"/>
    <n v="4098"/>
    <n v="60"/>
    <n v="4098"/>
  </r>
  <r>
    <x v="0"/>
    <n v="277131"/>
    <x v="2"/>
    <n v="1366"/>
    <x v="4"/>
    <n v="6830"/>
    <n v="3005.2"/>
    <n v="3824.8"/>
    <n v="56"/>
    <n v="3824.8"/>
  </r>
  <r>
    <x v="0"/>
    <n v="781275"/>
    <x v="1"/>
    <n v="1366"/>
    <x v="10"/>
    <n v="6830"/>
    <n v="2732"/>
    <n v="4098"/>
    <n v="60"/>
    <n v="4098"/>
  </r>
  <r>
    <x v="0"/>
    <n v="223911"/>
    <x v="0"/>
    <n v="1135"/>
    <x v="4"/>
    <n v="6810"/>
    <n v="3121.25"/>
    <n v="3688.75"/>
    <n v="54.17"/>
    <n v="3688.75"/>
  </r>
  <r>
    <x v="1"/>
    <n v="816536"/>
    <x v="1"/>
    <n v="1362"/>
    <x v="15"/>
    <n v="6810"/>
    <n v="2724"/>
    <n v="4086"/>
    <n v="60"/>
    <n v="4086"/>
  </r>
  <r>
    <x v="3"/>
    <n v="259455"/>
    <x v="1"/>
    <n v="1359"/>
    <x v="10"/>
    <n v="6795"/>
    <n v="2718"/>
    <n v="4077"/>
    <n v="60"/>
    <n v="4077"/>
  </r>
  <r>
    <x v="0"/>
    <n v="357838"/>
    <x v="2"/>
    <n v="1350"/>
    <x v="9"/>
    <n v="6750"/>
    <n v="2970"/>
    <n v="3780"/>
    <n v="56"/>
    <n v="3780"/>
  </r>
  <r>
    <x v="4"/>
    <n v="594463"/>
    <x v="4"/>
    <n v="2234"/>
    <x v="8"/>
    <n v="6702"/>
    <n v="2792.5"/>
    <n v="3909.5"/>
    <n v="58.33"/>
    <n v="3909.5"/>
  </r>
  <r>
    <x v="1"/>
    <n v="899556"/>
    <x v="4"/>
    <n v="2215"/>
    <x v="8"/>
    <n v="6645"/>
    <n v="2768.75"/>
    <n v="3876.25"/>
    <n v="58.33"/>
    <n v="3876.25"/>
  </r>
  <r>
    <x v="3"/>
    <n v="205484"/>
    <x v="1"/>
    <n v="1324"/>
    <x v="10"/>
    <n v="6620"/>
    <n v="2648"/>
    <n v="3972"/>
    <n v="60"/>
    <n v="3972"/>
  </r>
  <r>
    <x v="3"/>
    <n v="246621"/>
    <x v="4"/>
    <n v="2178"/>
    <x v="4"/>
    <n v="6534"/>
    <n v="2722.5"/>
    <n v="3811.5"/>
    <n v="58.33"/>
    <n v="3811.5"/>
  </r>
  <r>
    <x v="4"/>
    <n v="144559"/>
    <x v="4"/>
    <n v="2177"/>
    <x v="5"/>
    <n v="6531"/>
    <n v="2721.25"/>
    <n v="3809.75"/>
    <n v="58.33"/>
    <n v="3809.75"/>
  </r>
  <r>
    <x v="1"/>
    <n v="833644"/>
    <x v="1"/>
    <n v="1303"/>
    <x v="9"/>
    <n v="6515"/>
    <n v="2606"/>
    <n v="3909"/>
    <n v="60"/>
    <n v="3909"/>
  </r>
  <r>
    <x v="3"/>
    <n v="765978"/>
    <x v="0"/>
    <n v="1084"/>
    <x v="15"/>
    <n v="6504"/>
    <n v="2981"/>
    <n v="3523"/>
    <n v="54.17"/>
    <n v="3523"/>
  </r>
  <r>
    <x v="1"/>
    <n v="823956"/>
    <x v="4"/>
    <n v="2167"/>
    <x v="3"/>
    <n v="6501"/>
    <n v="2708.75"/>
    <n v="3792.25"/>
    <n v="58.33"/>
    <n v="3792.25"/>
  </r>
  <r>
    <x v="2"/>
    <n v="776532"/>
    <x v="1"/>
    <n v="1295"/>
    <x v="5"/>
    <n v="6475"/>
    <n v="2590"/>
    <n v="3885"/>
    <n v="60"/>
    <n v="3885"/>
  </r>
  <r>
    <x v="4"/>
    <n v="194906"/>
    <x v="3"/>
    <n v="1619"/>
    <x v="0"/>
    <n v="6474"/>
    <n v="2427.75"/>
    <n v="4046.25"/>
    <n v="62.5"/>
    <n v="4046.25"/>
  </r>
  <r>
    <x v="1"/>
    <n v="505496"/>
    <x v="4"/>
    <n v="2151"/>
    <x v="13"/>
    <n v="6453"/>
    <n v="2688.75"/>
    <n v="3764.25"/>
    <n v="58.33"/>
    <n v="3764.25"/>
  </r>
  <r>
    <x v="3"/>
    <n v="455780"/>
    <x v="1"/>
    <n v="1287"/>
    <x v="15"/>
    <n v="6435"/>
    <n v="2574"/>
    <n v="3861"/>
    <n v="60"/>
    <n v="3861"/>
  </r>
  <r>
    <x v="0"/>
    <n v="786700"/>
    <x v="2"/>
    <n v="1282"/>
    <x v="4"/>
    <n v="6410"/>
    <n v="2820.4"/>
    <n v="3589.6"/>
    <n v="56"/>
    <n v="3589.6"/>
  </r>
  <r>
    <x v="2"/>
    <n v="711362"/>
    <x v="4"/>
    <n v="2134"/>
    <x v="13"/>
    <n v="6402"/>
    <n v="2667.5"/>
    <n v="3734.5"/>
    <n v="58.33"/>
    <n v="3734.5"/>
  </r>
  <r>
    <x v="2"/>
    <n v="131700"/>
    <x v="2"/>
    <n v="1269"/>
    <x v="5"/>
    <n v="6345"/>
    <n v="2791.8"/>
    <n v="3553.2"/>
    <n v="56"/>
    <n v="3553.2"/>
  </r>
  <r>
    <x v="0"/>
    <n v="367956"/>
    <x v="0"/>
    <n v="1055"/>
    <x v="15"/>
    <n v="6330"/>
    <n v="2901.25"/>
    <n v="3428.75"/>
    <n v="54.17"/>
    <n v="3428.75"/>
  </r>
  <r>
    <x v="3"/>
    <n v="644843"/>
    <x v="4"/>
    <n v="2109"/>
    <x v="7"/>
    <n v="6327"/>
    <n v="2636.25"/>
    <n v="3690.75"/>
    <n v="58.33"/>
    <n v="3690.75"/>
  </r>
  <r>
    <x v="3"/>
    <n v="203224"/>
    <x v="3"/>
    <n v="1580"/>
    <x v="13"/>
    <n v="6320"/>
    <n v="2370"/>
    <n v="3950"/>
    <n v="62.5"/>
    <n v="3950"/>
  </r>
  <r>
    <x v="0"/>
    <n v="428676"/>
    <x v="1"/>
    <n v="1259"/>
    <x v="1"/>
    <n v="6295"/>
    <n v="2518"/>
    <n v="3777"/>
    <n v="60"/>
    <n v="3777"/>
  </r>
  <r>
    <x v="3"/>
    <n v="295574"/>
    <x v="3"/>
    <n v="1563"/>
    <x v="7"/>
    <n v="6252"/>
    <n v="2344.5"/>
    <n v="3907.5"/>
    <n v="62.5"/>
    <n v="3907.5"/>
  </r>
  <r>
    <x v="3"/>
    <n v="707082"/>
    <x v="2"/>
    <n v="1250"/>
    <x v="15"/>
    <n v="6250"/>
    <n v="2750"/>
    <n v="3500"/>
    <n v="56"/>
    <n v="3500"/>
  </r>
  <r>
    <x v="0"/>
    <n v="374010"/>
    <x v="1"/>
    <n v="1249"/>
    <x v="5"/>
    <n v="6245"/>
    <n v="2498"/>
    <n v="3747"/>
    <n v="60"/>
    <n v="3747"/>
  </r>
  <r>
    <x v="0"/>
    <n v="607051"/>
    <x v="3"/>
    <n v="1560"/>
    <x v="11"/>
    <n v="6240"/>
    <n v="2340"/>
    <n v="3900"/>
    <n v="62.5"/>
    <n v="3900"/>
  </r>
  <r>
    <x v="2"/>
    <n v="234670"/>
    <x v="0"/>
    <n v="1033"/>
    <x v="14"/>
    <n v="6198"/>
    <n v="2840.75"/>
    <n v="3357.25"/>
    <n v="54.17"/>
    <n v="3357.25"/>
  </r>
  <r>
    <x v="3"/>
    <n v="734809"/>
    <x v="2"/>
    <n v="1236"/>
    <x v="10"/>
    <n v="6180"/>
    <n v="2719.2"/>
    <n v="3460.8"/>
    <n v="56"/>
    <n v="3460.8"/>
  </r>
  <r>
    <x v="1"/>
    <n v="514463"/>
    <x v="1"/>
    <n v="1233"/>
    <x v="15"/>
    <n v="6165"/>
    <n v="2466"/>
    <n v="3699"/>
    <n v="60"/>
    <n v="3699"/>
  </r>
  <r>
    <x v="2"/>
    <n v="495847"/>
    <x v="3"/>
    <n v="1540"/>
    <x v="6"/>
    <n v="6160"/>
    <n v="2310"/>
    <n v="3850"/>
    <n v="62.5"/>
    <n v="3850"/>
  </r>
  <r>
    <x v="0"/>
    <n v="697895"/>
    <x v="1"/>
    <n v="1228"/>
    <x v="3"/>
    <n v="6140"/>
    <n v="2456"/>
    <n v="3684"/>
    <n v="60"/>
    <n v="3684"/>
  </r>
  <r>
    <x v="0"/>
    <n v="117166"/>
    <x v="2"/>
    <n v="1228"/>
    <x v="3"/>
    <n v="6140"/>
    <n v="2701.6"/>
    <n v="3438.4"/>
    <n v="56"/>
    <n v="3438.4"/>
  </r>
  <r>
    <x v="0"/>
    <n v="171515"/>
    <x v="1"/>
    <n v="1227"/>
    <x v="5"/>
    <n v="6135"/>
    <n v="2454"/>
    <n v="3681"/>
    <n v="60"/>
    <n v="3681"/>
  </r>
  <r>
    <x v="0"/>
    <n v="758487"/>
    <x v="0"/>
    <n v="1013"/>
    <x v="15"/>
    <n v="6078"/>
    <n v="2785.75"/>
    <n v="3292.25"/>
    <n v="54.17"/>
    <n v="3292.25"/>
  </r>
  <r>
    <x v="0"/>
    <n v="199710"/>
    <x v="3"/>
    <n v="1513"/>
    <x v="10"/>
    <n v="6052"/>
    <n v="2269.5"/>
    <n v="3782.5"/>
    <n v="62.5"/>
    <n v="3782.5"/>
  </r>
  <r>
    <x v="2"/>
    <n v="682634"/>
    <x v="3"/>
    <n v="1513"/>
    <x v="15"/>
    <n v="6052"/>
    <n v="2269.5"/>
    <n v="3782.5"/>
    <n v="62.5"/>
    <n v="3782.5"/>
  </r>
  <r>
    <x v="2"/>
    <n v="552346"/>
    <x v="0"/>
    <n v="1006"/>
    <x v="4"/>
    <n v="6036"/>
    <n v="2766.5"/>
    <n v="3269.5"/>
    <n v="54.17"/>
    <n v="3269.5"/>
  </r>
  <r>
    <x v="1"/>
    <n v="263637"/>
    <x v="0"/>
    <n v="1001"/>
    <x v="6"/>
    <n v="6006"/>
    <n v="2752.75"/>
    <n v="3253.25"/>
    <n v="54.17"/>
    <n v="3253.25"/>
  </r>
  <r>
    <x v="0"/>
    <n v="793118"/>
    <x v="4"/>
    <n v="2001"/>
    <x v="9"/>
    <n v="6003"/>
    <n v="2501.25"/>
    <n v="3501.75"/>
    <n v="58.33"/>
    <n v="3501.75"/>
  </r>
  <r>
    <x v="0"/>
    <n v="294935"/>
    <x v="1"/>
    <n v="1198"/>
    <x v="3"/>
    <n v="5990"/>
    <n v="2396"/>
    <n v="3594"/>
    <n v="60"/>
    <n v="3594"/>
  </r>
  <r>
    <x v="0"/>
    <n v="582048"/>
    <x v="1"/>
    <n v="1197"/>
    <x v="10"/>
    <n v="5985"/>
    <n v="2394"/>
    <n v="3591"/>
    <n v="60"/>
    <n v="3591"/>
  </r>
  <r>
    <x v="3"/>
    <n v="289035"/>
    <x v="3"/>
    <n v="1496"/>
    <x v="5"/>
    <n v="5984"/>
    <n v="2244"/>
    <n v="3740"/>
    <n v="62.5"/>
    <n v="3740"/>
  </r>
  <r>
    <x v="0"/>
    <n v="479703"/>
    <x v="2"/>
    <n v="1190"/>
    <x v="4"/>
    <n v="5950"/>
    <n v="2618"/>
    <n v="3332"/>
    <n v="56"/>
    <n v="3332"/>
  </r>
  <r>
    <x v="0"/>
    <n v="788517"/>
    <x v="3"/>
    <n v="1482"/>
    <x v="14"/>
    <n v="5928"/>
    <n v="2223"/>
    <n v="3705"/>
    <n v="62.5"/>
    <n v="3705"/>
  </r>
  <r>
    <x v="3"/>
    <n v="382008"/>
    <x v="0"/>
    <n v="986"/>
    <x v="5"/>
    <n v="5916"/>
    <n v="2711.5"/>
    <n v="3204.5"/>
    <n v="54.17"/>
    <n v="3204.5"/>
  </r>
  <r>
    <x v="0"/>
    <n v="763666"/>
    <x v="1"/>
    <n v="1177"/>
    <x v="10"/>
    <n v="5885"/>
    <n v="2354"/>
    <n v="3531"/>
    <n v="60"/>
    <n v="3531"/>
  </r>
  <r>
    <x v="3"/>
    <n v="837170"/>
    <x v="1"/>
    <n v="1175"/>
    <x v="5"/>
    <n v="5875"/>
    <n v="2350"/>
    <n v="3525"/>
    <n v="60"/>
    <n v="3525"/>
  </r>
  <r>
    <x v="3"/>
    <n v="462436"/>
    <x v="4"/>
    <n v="1956"/>
    <x v="0"/>
    <n v="5868"/>
    <n v="2445"/>
    <n v="3423"/>
    <n v="58.33"/>
    <n v="3423"/>
  </r>
  <r>
    <x v="2"/>
    <n v="623371"/>
    <x v="4"/>
    <n v="1945"/>
    <x v="3"/>
    <n v="5835"/>
    <n v="2431.25"/>
    <n v="3403.75"/>
    <n v="58.33"/>
    <n v="3403.75"/>
  </r>
  <r>
    <x v="3"/>
    <n v="434482"/>
    <x v="4"/>
    <n v="1940"/>
    <x v="14"/>
    <n v="5820"/>
    <n v="2425"/>
    <n v="3395"/>
    <n v="58.33"/>
    <n v="3395"/>
  </r>
  <r>
    <x v="0"/>
    <n v="151329"/>
    <x v="2"/>
    <n v="1159"/>
    <x v="3"/>
    <n v="5795"/>
    <n v="2549.8000000000002"/>
    <n v="3245.2"/>
    <n v="56"/>
    <n v="3245.2"/>
  </r>
  <r>
    <x v="2"/>
    <n v="690780"/>
    <x v="1"/>
    <n v="1158"/>
    <x v="12"/>
    <n v="5790"/>
    <n v="2316"/>
    <n v="3474"/>
    <n v="60"/>
    <n v="3474"/>
  </r>
  <r>
    <x v="2"/>
    <n v="869055"/>
    <x v="3"/>
    <n v="1445"/>
    <x v="13"/>
    <n v="5780"/>
    <n v="2167.5"/>
    <n v="3612.5"/>
    <n v="62.5"/>
    <n v="3612.5"/>
  </r>
  <r>
    <x v="3"/>
    <n v="203608"/>
    <x v="1"/>
    <n v="1153"/>
    <x v="5"/>
    <n v="5765"/>
    <n v="2306"/>
    <n v="3459"/>
    <n v="60"/>
    <n v="3459"/>
  </r>
  <r>
    <x v="0"/>
    <n v="703612"/>
    <x v="4"/>
    <n v="1916"/>
    <x v="1"/>
    <n v="5748"/>
    <n v="2395"/>
    <n v="3353"/>
    <n v="58.33"/>
    <n v="3353"/>
  </r>
  <r>
    <x v="3"/>
    <n v="308620"/>
    <x v="1"/>
    <n v="1143"/>
    <x v="5"/>
    <n v="5715"/>
    <n v="2286"/>
    <n v="3429"/>
    <n v="60"/>
    <n v="3429"/>
  </r>
  <r>
    <x v="0"/>
    <n v="170867"/>
    <x v="2"/>
    <n v="1143"/>
    <x v="5"/>
    <n v="5715"/>
    <n v="2514.6"/>
    <n v="3200.4"/>
    <n v="56"/>
    <n v="3200.4"/>
  </r>
  <r>
    <x v="2"/>
    <n v="730844"/>
    <x v="0"/>
    <n v="952"/>
    <x v="9"/>
    <n v="5712"/>
    <n v="2618"/>
    <n v="3094"/>
    <n v="54.17"/>
    <n v="3094"/>
  </r>
  <r>
    <x v="4"/>
    <n v="234290"/>
    <x v="1"/>
    <n v="1142"/>
    <x v="4"/>
    <n v="5710"/>
    <n v="2284"/>
    <n v="3426"/>
    <n v="60"/>
    <n v="3426"/>
  </r>
  <r>
    <x v="0"/>
    <n v="697568"/>
    <x v="1"/>
    <n v="1138"/>
    <x v="15"/>
    <n v="5690"/>
    <n v="2276"/>
    <n v="3414"/>
    <n v="60"/>
    <n v="3414"/>
  </r>
  <r>
    <x v="1"/>
    <n v="691342"/>
    <x v="2"/>
    <n v="1135"/>
    <x v="4"/>
    <n v="5675"/>
    <n v="2497"/>
    <n v="3178"/>
    <n v="56"/>
    <n v="3178"/>
  </r>
  <r>
    <x v="3"/>
    <n v="149767"/>
    <x v="4"/>
    <n v="1874"/>
    <x v="6"/>
    <n v="5622"/>
    <n v="2342.5"/>
    <n v="3279.5"/>
    <n v="58.33"/>
    <n v="3279.5"/>
  </r>
  <r>
    <x v="3"/>
    <n v="898591"/>
    <x v="1"/>
    <n v="1123"/>
    <x v="8"/>
    <n v="5615"/>
    <n v="2246"/>
    <n v="3369"/>
    <n v="60"/>
    <n v="3369"/>
  </r>
  <r>
    <x v="3"/>
    <n v="304458"/>
    <x v="2"/>
    <n v="1123"/>
    <x v="6"/>
    <n v="5615"/>
    <n v="2470.6"/>
    <n v="3144.4"/>
    <n v="56"/>
    <n v="3144.4"/>
  </r>
  <r>
    <x v="3"/>
    <n v="366080"/>
    <x v="4"/>
    <n v="1870"/>
    <x v="14"/>
    <n v="5610"/>
    <n v="2337.5"/>
    <n v="3272.5"/>
    <n v="58.33"/>
    <n v="3272.5"/>
  </r>
  <r>
    <x v="0"/>
    <n v="667288"/>
    <x v="1"/>
    <n v="1122"/>
    <x v="12"/>
    <n v="5610"/>
    <n v="2244"/>
    <n v="3366"/>
    <n v="60"/>
    <n v="3366"/>
  </r>
  <r>
    <x v="3"/>
    <n v="390355"/>
    <x v="4"/>
    <n v="1867"/>
    <x v="13"/>
    <n v="5601"/>
    <n v="2333.75"/>
    <n v="3267.25"/>
    <n v="58.33"/>
    <n v="3267.25"/>
  </r>
  <r>
    <x v="3"/>
    <n v="653226"/>
    <x v="2"/>
    <n v="1118"/>
    <x v="10"/>
    <n v="5590"/>
    <n v="2459.6"/>
    <n v="3130.4"/>
    <n v="56"/>
    <n v="3130.4"/>
  </r>
  <r>
    <x v="2"/>
    <n v="128044"/>
    <x v="3"/>
    <n v="1397"/>
    <x v="5"/>
    <n v="5588"/>
    <n v="2095.5"/>
    <n v="3492.5"/>
    <n v="62.5"/>
    <n v="3492.5"/>
  </r>
  <r>
    <x v="2"/>
    <n v="686090"/>
    <x v="1"/>
    <n v="1114"/>
    <x v="12"/>
    <n v="5570"/>
    <n v="2228"/>
    <n v="3342"/>
    <n v="60"/>
    <n v="3342"/>
  </r>
  <r>
    <x v="4"/>
    <n v="265959"/>
    <x v="0"/>
    <n v="923"/>
    <x v="6"/>
    <n v="5538"/>
    <n v="2538.25"/>
    <n v="2999.75"/>
    <n v="54.17"/>
    <n v="2999.75"/>
  </r>
  <r>
    <x v="0"/>
    <n v="604462"/>
    <x v="2"/>
    <n v="1101"/>
    <x v="12"/>
    <n v="5505"/>
    <n v="2422.1999999999998"/>
    <n v="3082.8"/>
    <n v="56"/>
    <n v="3082.8"/>
  </r>
  <r>
    <x v="2"/>
    <n v="414628"/>
    <x v="0"/>
    <n v="914"/>
    <x v="15"/>
    <n v="5484"/>
    <n v="2513.5"/>
    <n v="2970.5"/>
    <n v="54.17"/>
    <n v="2970.5"/>
  </r>
  <r>
    <x v="1"/>
    <n v="278950"/>
    <x v="1"/>
    <n v="1095"/>
    <x v="7"/>
    <n v="5475"/>
    <n v="2190"/>
    <n v="3285"/>
    <n v="60"/>
    <n v="3285"/>
  </r>
  <r>
    <x v="1"/>
    <n v="529578"/>
    <x v="1"/>
    <n v="1094"/>
    <x v="4"/>
    <n v="5470"/>
    <n v="2188"/>
    <n v="3282"/>
    <n v="60"/>
    <n v="3282"/>
  </r>
  <r>
    <x v="2"/>
    <n v="745887"/>
    <x v="4"/>
    <n v="1817"/>
    <x v="15"/>
    <n v="5451"/>
    <n v="2271.25"/>
    <n v="3179.75"/>
    <n v="58.33"/>
    <n v="3179.75"/>
  </r>
  <r>
    <x v="2"/>
    <n v="702657"/>
    <x v="3"/>
    <n v="1362"/>
    <x v="15"/>
    <n v="5448"/>
    <n v="2043"/>
    <n v="3405"/>
    <n v="62.5"/>
    <n v="3405"/>
  </r>
  <r>
    <x v="0"/>
    <n v="234667"/>
    <x v="0"/>
    <n v="905"/>
    <x v="5"/>
    <n v="5430"/>
    <n v="2488.75"/>
    <n v="2941.25"/>
    <n v="54.17"/>
    <n v="2941.25"/>
  </r>
  <r>
    <x v="3"/>
    <n v="332447"/>
    <x v="1"/>
    <n v="1085"/>
    <x v="5"/>
    <n v="5425"/>
    <n v="2170"/>
    <n v="3255"/>
    <n v="60"/>
    <n v="3255"/>
  </r>
  <r>
    <x v="0"/>
    <n v="300303"/>
    <x v="1"/>
    <n v="1084"/>
    <x v="15"/>
    <n v="5420"/>
    <n v="2168"/>
    <n v="3252"/>
    <n v="60"/>
    <n v="3252"/>
  </r>
  <r>
    <x v="0"/>
    <n v="559561"/>
    <x v="4"/>
    <n v="1806"/>
    <x v="7"/>
    <n v="5418"/>
    <n v="2257.5"/>
    <n v="3160.5"/>
    <n v="58.33"/>
    <n v="3160.5"/>
  </r>
  <r>
    <x v="2"/>
    <n v="558408"/>
    <x v="2"/>
    <n v="1074"/>
    <x v="1"/>
    <n v="5370"/>
    <n v="2362.8000000000002"/>
    <n v="3007.2"/>
    <n v="56"/>
    <n v="3007.2"/>
  </r>
  <r>
    <x v="2"/>
    <n v="858867"/>
    <x v="3"/>
    <n v="1321"/>
    <x v="0"/>
    <n v="5284"/>
    <n v="1981.5"/>
    <n v="3302.5"/>
    <n v="62.5"/>
    <n v="3302.5"/>
  </r>
  <r>
    <x v="1"/>
    <n v="436748"/>
    <x v="1"/>
    <n v="1056"/>
    <x v="13"/>
    <n v="5280"/>
    <n v="2112"/>
    <n v="3168"/>
    <n v="60"/>
    <n v="3168"/>
  </r>
  <r>
    <x v="1"/>
    <n v="531834"/>
    <x v="1"/>
    <n v="1055"/>
    <x v="15"/>
    <n v="5275"/>
    <n v="2110"/>
    <n v="3165"/>
    <n v="60"/>
    <n v="3165"/>
  </r>
  <r>
    <x v="1"/>
    <n v="275167"/>
    <x v="4"/>
    <n v="1744"/>
    <x v="10"/>
    <n v="5232"/>
    <n v="2180"/>
    <n v="3052"/>
    <n v="58.33"/>
    <n v="3052"/>
  </r>
  <r>
    <x v="3"/>
    <n v="361541"/>
    <x v="4"/>
    <n v="1739"/>
    <x v="1"/>
    <n v="5215.5"/>
    <n v="2173.13"/>
    <n v="3042.38"/>
    <n v="58.33"/>
    <n v="3042.38"/>
  </r>
  <r>
    <x v="3"/>
    <n v="153144"/>
    <x v="4"/>
    <n v="1734"/>
    <x v="0"/>
    <n v="5202"/>
    <n v="2167.5"/>
    <n v="3034.5"/>
    <n v="58.33"/>
    <n v="3034.5"/>
  </r>
  <r>
    <x v="0"/>
    <n v="842675"/>
    <x v="2"/>
    <n v="1038"/>
    <x v="4"/>
    <n v="5190"/>
    <n v="2283.6"/>
    <n v="2906.4"/>
    <n v="56"/>
    <n v="2906.4"/>
  </r>
  <r>
    <x v="2"/>
    <n v="429472"/>
    <x v="1"/>
    <n v="1038"/>
    <x v="4"/>
    <n v="5190"/>
    <n v="2076"/>
    <n v="3114"/>
    <n v="60"/>
    <n v="3114"/>
  </r>
  <r>
    <x v="2"/>
    <n v="601636"/>
    <x v="3"/>
    <n v="1295"/>
    <x v="5"/>
    <n v="5180"/>
    <n v="1942.5"/>
    <n v="3237.5"/>
    <n v="62.5"/>
    <n v="3237.5"/>
  </r>
  <r>
    <x v="2"/>
    <n v="304806"/>
    <x v="0"/>
    <n v="861"/>
    <x v="5"/>
    <n v="5166"/>
    <n v="2367.75"/>
    <n v="2798.25"/>
    <n v="54.17"/>
    <n v="2798.25"/>
  </r>
  <r>
    <x v="4"/>
    <n v="142979"/>
    <x v="1"/>
    <n v="1031"/>
    <x v="8"/>
    <n v="5155"/>
    <n v="2062"/>
    <n v="3093"/>
    <n v="60"/>
    <n v="3093"/>
  </r>
  <r>
    <x v="0"/>
    <n v="600124"/>
    <x v="1"/>
    <n v="1030"/>
    <x v="7"/>
    <n v="5150"/>
    <n v="2060"/>
    <n v="3090"/>
    <n v="60"/>
    <n v="3090"/>
  </r>
  <r>
    <x v="4"/>
    <n v="428131"/>
    <x v="0"/>
    <n v="853"/>
    <x v="15"/>
    <n v="5118"/>
    <n v="2345.75"/>
    <n v="2772.25"/>
    <n v="54.17"/>
    <n v="2772.25"/>
  </r>
  <r>
    <x v="2"/>
    <n v="721092"/>
    <x v="1"/>
    <n v="1013"/>
    <x v="15"/>
    <n v="5065"/>
    <n v="2026"/>
    <n v="3039"/>
    <n v="60"/>
    <n v="3039"/>
  </r>
  <r>
    <x v="2"/>
    <n v="640447"/>
    <x v="1"/>
    <n v="1006"/>
    <x v="4"/>
    <n v="5030"/>
    <n v="2012"/>
    <n v="3018"/>
    <n v="60"/>
    <n v="3018"/>
  </r>
  <r>
    <x v="0"/>
    <n v="766207"/>
    <x v="2"/>
    <n v="994"/>
    <x v="8"/>
    <n v="4970"/>
    <n v="2186.8000000000002"/>
    <n v="2783.2"/>
    <n v="56"/>
    <n v="2783.2"/>
  </r>
  <r>
    <x v="2"/>
    <n v="560581"/>
    <x v="1"/>
    <n v="991"/>
    <x v="4"/>
    <n v="4955"/>
    <n v="1982"/>
    <n v="2973"/>
    <n v="60"/>
    <n v="2973"/>
  </r>
  <r>
    <x v="2"/>
    <n v="108848"/>
    <x v="4"/>
    <n v="1642"/>
    <x v="6"/>
    <n v="4926"/>
    <n v="2052.5"/>
    <n v="2873.5"/>
    <n v="58.33"/>
    <n v="2873.5"/>
  </r>
  <r>
    <x v="0"/>
    <n v="140794"/>
    <x v="1"/>
    <n v="974"/>
    <x v="9"/>
    <n v="4870"/>
    <n v="1948"/>
    <n v="2922"/>
    <n v="60"/>
    <n v="2922"/>
  </r>
  <r>
    <x v="1"/>
    <n v="123431"/>
    <x v="1"/>
    <n v="973"/>
    <x v="12"/>
    <n v="4865"/>
    <n v="1946"/>
    <n v="2919"/>
    <n v="60"/>
    <n v="2919"/>
  </r>
  <r>
    <x v="4"/>
    <n v="156941"/>
    <x v="0"/>
    <n v="809"/>
    <x v="3"/>
    <n v="4854"/>
    <n v="2224.75"/>
    <n v="2629.25"/>
    <n v="54.17"/>
    <n v="2629.25"/>
  </r>
  <r>
    <x v="2"/>
    <n v="256775"/>
    <x v="2"/>
    <n v="970"/>
    <x v="11"/>
    <n v="4850"/>
    <n v="2134"/>
    <n v="2716"/>
    <n v="56"/>
    <n v="2716"/>
  </r>
  <r>
    <x v="3"/>
    <n v="666752"/>
    <x v="0"/>
    <n v="807"/>
    <x v="9"/>
    <n v="4842"/>
    <n v="2219.25"/>
    <n v="2622.75"/>
    <n v="54.17"/>
    <n v="2622.75"/>
  </r>
  <r>
    <x v="0"/>
    <n v="103112"/>
    <x v="3"/>
    <n v="1210"/>
    <x v="12"/>
    <n v="4840"/>
    <n v="1815"/>
    <n v="3025"/>
    <n v="62.5"/>
    <n v="3025"/>
  </r>
  <r>
    <x v="0"/>
    <n v="518063"/>
    <x v="3"/>
    <n v="1198"/>
    <x v="3"/>
    <n v="4792"/>
    <n v="1797"/>
    <n v="2995"/>
    <n v="62.5"/>
    <n v="2995"/>
  </r>
  <r>
    <x v="3"/>
    <n v="561318"/>
    <x v="4"/>
    <n v="1583"/>
    <x v="4"/>
    <n v="4749"/>
    <n v="1978.75"/>
    <n v="2770.25"/>
    <n v="58.33"/>
    <n v="2770.25"/>
  </r>
  <r>
    <x v="4"/>
    <n v="628954"/>
    <x v="4"/>
    <n v="1582"/>
    <x v="15"/>
    <n v="4746"/>
    <n v="1977.5"/>
    <n v="2768.5"/>
    <n v="58.33"/>
    <n v="2768.5"/>
  </r>
  <r>
    <x v="4"/>
    <n v="217808"/>
    <x v="0"/>
    <n v="790"/>
    <x v="7"/>
    <n v="4740"/>
    <n v="2172.5"/>
    <n v="2567.5"/>
    <n v="54.17"/>
    <n v="2567.5"/>
  </r>
  <r>
    <x v="1"/>
    <n v="565067"/>
    <x v="4"/>
    <n v="1579"/>
    <x v="12"/>
    <n v="4737"/>
    <n v="1973.75"/>
    <n v="2763.25"/>
    <n v="58.33"/>
    <n v="2763.25"/>
  </r>
  <r>
    <x v="3"/>
    <n v="550622"/>
    <x v="2"/>
    <n v="947"/>
    <x v="8"/>
    <n v="4735"/>
    <n v="2083.4"/>
    <n v="2651.6"/>
    <n v="56"/>
    <n v="2651.6"/>
  </r>
  <r>
    <x v="3"/>
    <n v="358173"/>
    <x v="4"/>
    <n v="1570"/>
    <x v="4"/>
    <n v="4710"/>
    <n v="1962.5"/>
    <n v="2747.5"/>
    <n v="58.33"/>
    <n v="2747.5"/>
  </r>
  <r>
    <x v="3"/>
    <n v="544809"/>
    <x v="2"/>
    <n v="941"/>
    <x v="10"/>
    <n v="4705"/>
    <n v="2070.1999999999998"/>
    <n v="2634.8"/>
    <n v="56"/>
    <n v="2634.8"/>
  </r>
  <r>
    <x v="4"/>
    <n v="819278"/>
    <x v="3"/>
    <n v="1174"/>
    <x v="6"/>
    <n v="4696"/>
    <n v="1761"/>
    <n v="2935"/>
    <n v="62.5"/>
    <n v="2935"/>
  </r>
  <r>
    <x v="4"/>
    <n v="762271"/>
    <x v="4"/>
    <n v="1565"/>
    <x v="5"/>
    <n v="4695"/>
    <n v="1956.25"/>
    <n v="2738.75"/>
    <n v="58.33"/>
    <n v="2738.75"/>
  </r>
  <r>
    <x v="2"/>
    <n v="521663"/>
    <x v="4"/>
    <n v="1531"/>
    <x v="15"/>
    <n v="4593"/>
    <n v="1913.75"/>
    <n v="2679.25"/>
    <n v="58.33"/>
    <n v="2679.25"/>
  </r>
  <r>
    <x v="1"/>
    <n v="770750"/>
    <x v="1"/>
    <n v="918"/>
    <x v="7"/>
    <n v="4590"/>
    <n v="1836"/>
    <n v="2754"/>
    <n v="60"/>
    <n v="2754"/>
  </r>
  <r>
    <x v="4"/>
    <n v="587301"/>
    <x v="4"/>
    <n v="1527"/>
    <x v="8"/>
    <n v="4581"/>
    <n v="1908.75"/>
    <n v="2672.25"/>
    <n v="58.33"/>
    <n v="2672.25"/>
  </r>
  <r>
    <x v="1"/>
    <n v="855262"/>
    <x v="1"/>
    <n v="914"/>
    <x v="15"/>
    <n v="4570"/>
    <n v="1828"/>
    <n v="2742"/>
    <n v="60"/>
    <n v="2742"/>
  </r>
  <r>
    <x v="4"/>
    <n v="144696"/>
    <x v="1"/>
    <n v="912"/>
    <x v="11"/>
    <n v="4560"/>
    <n v="1824"/>
    <n v="2736"/>
    <n v="60"/>
    <n v="2736"/>
  </r>
  <r>
    <x v="0"/>
    <n v="592176"/>
    <x v="4"/>
    <n v="1514"/>
    <x v="3"/>
    <n v="4542"/>
    <n v="1892.5"/>
    <n v="2649.5"/>
    <n v="58.33"/>
    <n v="2649.5"/>
  </r>
  <r>
    <x v="0"/>
    <n v="170514"/>
    <x v="1"/>
    <n v="905"/>
    <x v="5"/>
    <n v="4525"/>
    <n v="1810"/>
    <n v="2715"/>
    <n v="60"/>
    <n v="2715"/>
  </r>
  <r>
    <x v="1"/>
    <n v="721252"/>
    <x v="4"/>
    <n v="1498"/>
    <x v="4"/>
    <n v="4494"/>
    <n v="1872.5"/>
    <n v="2621.5"/>
    <n v="58.33"/>
    <n v="2621.5"/>
  </r>
  <r>
    <x v="3"/>
    <n v="356877"/>
    <x v="4"/>
    <n v="1496"/>
    <x v="5"/>
    <n v="4488"/>
    <n v="1870"/>
    <n v="2618"/>
    <n v="58.33"/>
    <n v="2618"/>
  </r>
  <r>
    <x v="0"/>
    <n v="138905"/>
    <x v="4"/>
    <n v="1491"/>
    <x v="12"/>
    <n v="4473"/>
    <n v="1863.75"/>
    <n v="2609.25"/>
    <n v="58.33"/>
    <n v="2609.25"/>
  </r>
  <r>
    <x v="2"/>
    <n v="137994"/>
    <x v="3"/>
    <n v="1118"/>
    <x v="0"/>
    <n v="4470"/>
    <n v="1676.25"/>
    <n v="2793.75"/>
    <n v="62.5"/>
    <n v="2793.75"/>
  </r>
  <r>
    <x v="0"/>
    <n v="787606"/>
    <x v="3"/>
    <n v="1116"/>
    <x v="9"/>
    <n v="4464"/>
    <n v="1674"/>
    <n v="2790"/>
    <n v="62.5"/>
    <n v="2790"/>
  </r>
  <r>
    <x v="0"/>
    <n v="858624"/>
    <x v="2"/>
    <n v="888"/>
    <x v="12"/>
    <n v="4440"/>
    <n v="1953.6"/>
    <n v="2486.4"/>
    <n v="56"/>
    <n v="2486.4"/>
  </r>
  <r>
    <x v="1"/>
    <n v="249663"/>
    <x v="1"/>
    <n v="886"/>
    <x v="4"/>
    <n v="4430"/>
    <n v="1772"/>
    <n v="2658"/>
    <n v="60"/>
    <n v="2658"/>
  </r>
  <r>
    <x v="2"/>
    <n v="455927"/>
    <x v="0"/>
    <n v="736"/>
    <x v="8"/>
    <n v="4416"/>
    <n v="2024"/>
    <n v="2392"/>
    <n v="54.17"/>
    <n v="2392"/>
  </r>
  <r>
    <x v="1"/>
    <n v="889571"/>
    <x v="1"/>
    <n v="883"/>
    <x v="6"/>
    <n v="4415"/>
    <n v="1766"/>
    <n v="2649"/>
    <n v="60"/>
    <n v="2649"/>
  </r>
  <r>
    <x v="0"/>
    <n v="629559"/>
    <x v="3"/>
    <n v="1094"/>
    <x v="4"/>
    <n v="4376"/>
    <n v="1641"/>
    <n v="2735"/>
    <n v="62.5"/>
    <n v="2735"/>
  </r>
  <r>
    <x v="0"/>
    <n v="103317"/>
    <x v="1"/>
    <n v="873"/>
    <x v="0"/>
    <n v="4365"/>
    <n v="1746"/>
    <n v="2619"/>
    <n v="60"/>
    <n v="2619"/>
  </r>
  <r>
    <x v="2"/>
    <n v="329257"/>
    <x v="3"/>
    <n v="1085"/>
    <x v="5"/>
    <n v="4340"/>
    <n v="1627.5"/>
    <n v="2712.5"/>
    <n v="62.5"/>
    <n v="2712.5"/>
  </r>
  <r>
    <x v="4"/>
    <n v="852827"/>
    <x v="1"/>
    <n v="861"/>
    <x v="5"/>
    <n v="4305"/>
    <n v="1722"/>
    <n v="2583"/>
    <n v="60"/>
    <n v="2583"/>
  </r>
  <r>
    <x v="0"/>
    <n v="681348"/>
    <x v="2"/>
    <n v="853"/>
    <x v="15"/>
    <n v="4265"/>
    <n v="1876.6"/>
    <n v="2388.4"/>
    <n v="56"/>
    <n v="2388.4"/>
  </r>
  <r>
    <x v="1"/>
    <n v="295390"/>
    <x v="0"/>
    <n v="704"/>
    <x v="3"/>
    <n v="4224"/>
    <n v="1936"/>
    <n v="2288"/>
    <n v="54.17"/>
    <n v="2288"/>
  </r>
  <r>
    <x v="3"/>
    <n v="791359"/>
    <x v="4"/>
    <n v="1397"/>
    <x v="5"/>
    <n v="4191"/>
    <n v="1746.25"/>
    <n v="2444.75"/>
    <n v="58.33"/>
    <n v="2444.75"/>
  </r>
  <r>
    <x v="1"/>
    <n v="426898"/>
    <x v="4"/>
    <n v="1389"/>
    <x v="3"/>
    <n v="4167"/>
    <n v="1736.25"/>
    <n v="2430.75"/>
    <n v="58.33"/>
    <n v="2430.75"/>
  </r>
  <r>
    <x v="4"/>
    <n v="285799"/>
    <x v="3"/>
    <n v="1023"/>
    <x v="8"/>
    <n v="4092"/>
    <n v="1534.5"/>
    <n v="2557.5"/>
    <n v="62.5"/>
    <n v="2557.5"/>
  </r>
  <r>
    <x v="4"/>
    <n v="311475"/>
    <x v="0"/>
    <n v="681"/>
    <x v="0"/>
    <n v="4086"/>
    <n v="1872.75"/>
    <n v="2213.25"/>
    <n v="54.17"/>
    <n v="2213.25"/>
  </r>
  <r>
    <x v="3"/>
    <n v="296951"/>
    <x v="3"/>
    <n v="1016"/>
    <x v="11"/>
    <n v="4064"/>
    <n v="1524"/>
    <n v="2540"/>
    <n v="62.5"/>
    <n v="2540"/>
  </r>
  <r>
    <x v="3"/>
    <n v="151130"/>
    <x v="4"/>
    <n v="1352"/>
    <x v="1"/>
    <n v="4054.5"/>
    <n v="1689.38"/>
    <n v="2365.13"/>
    <n v="58.33"/>
    <n v="2365.13"/>
  </r>
  <r>
    <x v="2"/>
    <n v="875012"/>
    <x v="1"/>
    <n v="809"/>
    <x v="3"/>
    <n v="4045"/>
    <n v="1618"/>
    <n v="2427"/>
    <n v="60"/>
    <n v="2427"/>
  </r>
  <r>
    <x v="1"/>
    <n v="411519"/>
    <x v="3"/>
    <n v="1010"/>
    <x v="5"/>
    <n v="4040"/>
    <n v="1515"/>
    <n v="2525"/>
    <n v="62.5"/>
    <n v="2525"/>
  </r>
  <r>
    <x v="1"/>
    <n v="608863"/>
    <x v="1"/>
    <n v="807"/>
    <x v="0"/>
    <n v="4035"/>
    <n v="1614"/>
    <n v="2421"/>
    <n v="60"/>
    <n v="2421"/>
  </r>
  <r>
    <x v="3"/>
    <n v="253981"/>
    <x v="0"/>
    <n v="663"/>
    <x v="13"/>
    <n v="3978"/>
    <n v="1823.25"/>
    <n v="2154.75"/>
    <n v="54.17"/>
    <n v="2154.75"/>
  </r>
  <r>
    <x v="1"/>
    <n v="196520"/>
    <x v="0"/>
    <n v="663"/>
    <x v="3"/>
    <n v="3978"/>
    <n v="1823.25"/>
    <n v="2154.75"/>
    <n v="54.17"/>
    <n v="2154.75"/>
  </r>
  <r>
    <x v="1"/>
    <n v="514091"/>
    <x v="4"/>
    <n v="1326"/>
    <x v="12"/>
    <n v="3978"/>
    <n v="1657.5"/>
    <n v="2320.5"/>
    <n v="58.33"/>
    <n v="2320.5"/>
  </r>
  <r>
    <x v="3"/>
    <n v="776513"/>
    <x v="1"/>
    <n v="795"/>
    <x v="12"/>
    <n v="3975"/>
    <n v="1590"/>
    <n v="2385"/>
    <n v="60"/>
    <n v="2385"/>
  </r>
  <r>
    <x v="4"/>
    <n v="551997"/>
    <x v="3"/>
    <n v="991"/>
    <x v="4"/>
    <n v="3964"/>
    <n v="1486.5"/>
    <n v="2477.5"/>
    <n v="62.5"/>
    <n v="2477.5"/>
  </r>
  <r>
    <x v="0"/>
    <n v="899629"/>
    <x v="0"/>
    <n v="660"/>
    <x v="8"/>
    <n v="3960"/>
    <n v="1815"/>
    <n v="2145"/>
    <n v="54.17"/>
    <n v="2145"/>
  </r>
  <r>
    <x v="1"/>
    <n v="505339"/>
    <x v="1"/>
    <n v="788"/>
    <x v="8"/>
    <n v="3940"/>
    <n v="1576"/>
    <n v="2364"/>
    <n v="60"/>
    <n v="2364"/>
  </r>
  <r>
    <x v="0"/>
    <n v="387444"/>
    <x v="1"/>
    <n v="787"/>
    <x v="4"/>
    <n v="3935"/>
    <n v="1574"/>
    <n v="2361"/>
    <n v="60"/>
    <n v="2361"/>
  </r>
  <r>
    <x v="2"/>
    <n v="573970"/>
    <x v="0"/>
    <n v="655"/>
    <x v="8"/>
    <n v="3930"/>
    <n v="1801.25"/>
    <n v="2128.75"/>
    <n v="54.17"/>
    <n v="2128.75"/>
  </r>
  <r>
    <x v="1"/>
    <n v="510933"/>
    <x v="4"/>
    <n v="1281"/>
    <x v="14"/>
    <n v="3843"/>
    <n v="1601.25"/>
    <n v="2241.75"/>
    <n v="58.33"/>
    <n v="2241.75"/>
  </r>
  <r>
    <x v="3"/>
    <n v="897372"/>
    <x v="0"/>
    <n v="639"/>
    <x v="2"/>
    <n v="3834"/>
    <n v="1757.25"/>
    <n v="2076.75"/>
    <n v="54.17"/>
    <n v="2076.75"/>
  </r>
  <r>
    <x v="0"/>
    <n v="584477"/>
    <x v="0"/>
    <n v="639"/>
    <x v="10"/>
    <n v="3834"/>
    <n v="1757.25"/>
    <n v="2076.75"/>
    <n v="54.17"/>
    <n v="2076.75"/>
  </r>
  <r>
    <x v="1"/>
    <n v="238791"/>
    <x v="1"/>
    <n v="766"/>
    <x v="3"/>
    <n v="3830"/>
    <n v="1532"/>
    <n v="2298"/>
    <n v="60"/>
    <n v="2298"/>
  </r>
  <r>
    <x v="0"/>
    <n v="751314"/>
    <x v="0"/>
    <n v="635"/>
    <x v="15"/>
    <n v="3810"/>
    <n v="1746.25"/>
    <n v="2063.75"/>
    <n v="54.17"/>
    <n v="2063.75"/>
  </r>
  <r>
    <x v="2"/>
    <n v="156617"/>
    <x v="5"/>
    <n v="3803"/>
    <x v="1"/>
    <n v="3802.5"/>
    <n v="1901.25"/>
    <n v="1901.25"/>
    <n v="50"/>
    <n v="1901.25"/>
  </r>
  <r>
    <x v="0"/>
    <n v="646205"/>
    <x v="4"/>
    <n v="1265"/>
    <x v="11"/>
    <n v="3795"/>
    <n v="1581.25"/>
    <n v="2213.75"/>
    <n v="58.33"/>
    <n v="2213.75"/>
  </r>
  <r>
    <x v="3"/>
    <n v="320688"/>
    <x v="1"/>
    <n v="747"/>
    <x v="13"/>
    <n v="3735"/>
    <n v="1494"/>
    <n v="2241"/>
    <n v="60"/>
    <n v="2241"/>
  </r>
  <r>
    <x v="0"/>
    <n v="871331"/>
    <x v="4"/>
    <n v="1233"/>
    <x v="15"/>
    <n v="3699"/>
    <n v="1541.25"/>
    <n v="2157.75"/>
    <n v="58.33"/>
    <n v="2157.75"/>
  </r>
  <r>
    <x v="0"/>
    <n v="602911"/>
    <x v="3"/>
    <n v="923"/>
    <x v="12"/>
    <n v="3692"/>
    <n v="1384.5"/>
    <n v="2307.5"/>
    <n v="62.5"/>
    <n v="2307.5"/>
  </r>
  <r>
    <x v="3"/>
    <n v="699845"/>
    <x v="4"/>
    <n v="1227"/>
    <x v="5"/>
    <n v="3681"/>
    <n v="1533.75"/>
    <n v="2147.25"/>
    <n v="58.33"/>
    <n v="2147.25"/>
  </r>
  <r>
    <x v="3"/>
    <n v="425472"/>
    <x v="4"/>
    <n v="1221"/>
    <x v="3"/>
    <n v="3663"/>
    <n v="1526.25"/>
    <n v="2136.75"/>
    <n v="58.33"/>
    <n v="2136.75"/>
  </r>
  <r>
    <x v="4"/>
    <n v="741049"/>
    <x v="0"/>
    <n v="609"/>
    <x v="6"/>
    <n v="3654"/>
    <n v="1674.75"/>
    <n v="1979.25"/>
    <n v="54.17"/>
    <n v="1979.25"/>
  </r>
  <r>
    <x v="4"/>
    <n v="349645"/>
    <x v="0"/>
    <n v="606"/>
    <x v="1"/>
    <n v="3636"/>
    <n v="1666.5"/>
    <n v="1969.5"/>
    <n v="54.17"/>
    <n v="1969.5"/>
  </r>
  <r>
    <x v="0"/>
    <n v="698573"/>
    <x v="2"/>
    <n v="727"/>
    <x v="3"/>
    <n v="3635"/>
    <n v="1599.4"/>
    <n v="2035.6"/>
    <n v="56"/>
    <n v="2035.6"/>
  </r>
  <r>
    <x v="2"/>
    <n v="885205"/>
    <x v="1"/>
    <n v="727"/>
    <x v="4"/>
    <n v="3635"/>
    <n v="1454"/>
    <n v="2181"/>
    <n v="60"/>
    <n v="2181"/>
  </r>
  <r>
    <x v="1"/>
    <n v="758323"/>
    <x v="1"/>
    <n v="727"/>
    <x v="3"/>
    <n v="3635"/>
    <n v="1454"/>
    <n v="2181"/>
    <n v="60"/>
    <n v="2181"/>
  </r>
  <r>
    <x v="2"/>
    <n v="249563"/>
    <x v="3"/>
    <n v="908"/>
    <x v="14"/>
    <n v="3632"/>
    <n v="1362"/>
    <n v="2270"/>
    <n v="62.5"/>
    <n v="2270"/>
  </r>
  <r>
    <x v="2"/>
    <n v="746705"/>
    <x v="5"/>
    <n v="3627"/>
    <x v="2"/>
    <n v="3627"/>
    <n v="1813.5"/>
    <n v="1813.5"/>
    <n v="50"/>
    <n v="1813.5"/>
  </r>
  <r>
    <x v="4"/>
    <n v="135967"/>
    <x v="0"/>
    <n v="604"/>
    <x v="4"/>
    <n v="3624"/>
    <n v="1661"/>
    <n v="1963"/>
    <n v="54.17"/>
    <n v="1963"/>
  </r>
  <r>
    <x v="2"/>
    <n v="170761"/>
    <x v="1"/>
    <n v="723"/>
    <x v="1"/>
    <n v="3615"/>
    <n v="1446"/>
    <n v="2169"/>
    <n v="60"/>
    <n v="2169"/>
  </r>
  <r>
    <x v="2"/>
    <n v="192398"/>
    <x v="0"/>
    <n v="602"/>
    <x v="4"/>
    <n v="3612"/>
    <n v="1655.5"/>
    <n v="1956.5"/>
    <n v="54.17"/>
    <n v="1956.5"/>
  </r>
  <r>
    <x v="4"/>
    <n v="856865"/>
    <x v="0"/>
    <n v="598"/>
    <x v="12"/>
    <n v="3588"/>
    <n v="1644.5"/>
    <n v="1943.5"/>
    <n v="54.17"/>
    <n v="1943.5"/>
  </r>
  <r>
    <x v="1"/>
    <n v="103888"/>
    <x v="2"/>
    <n v="711"/>
    <x v="15"/>
    <n v="3555"/>
    <n v="1564.2"/>
    <n v="1990.8"/>
    <n v="56"/>
    <n v="1990.8"/>
  </r>
  <r>
    <x v="0"/>
    <n v="361699"/>
    <x v="3"/>
    <n v="888"/>
    <x v="4"/>
    <n v="3552"/>
    <n v="1332"/>
    <n v="2220"/>
    <n v="62.5"/>
    <n v="2220"/>
  </r>
  <r>
    <x v="0"/>
    <n v="847678"/>
    <x v="3"/>
    <n v="887"/>
    <x v="14"/>
    <n v="3548"/>
    <n v="1330.5"/>
    <n v="2217.5"/>
    <n v="62.5"/>
    <n v="2217.5"/>
  </r>
  <r>
    <x v="2"/>
    <n v="533938"/>
    <x v="3"/>
    <n v="886"/>
    <x v="4"/>
    <n v="3544"/>
    <n v="1329"/>
    <n v="2215"/>
    <n v="62.5"/>
    <n v="2215"/>
  </r>
  <r>
    <x v="2"/>
    <n v="137921"/>
    <x v="2"/>
    <n v="708"/>
    <x v="4"/>
    <n v="3540"/>
    <n v="1557.6"/>
    <n v="1982.4"/>
    <n v="56"/>
    <n v="1982.4"/>
  </r>
  <r>
    <x v="0"/>
    <n v="267107"/>
    <x v="2"/>
    <n v="707"/>
    <x v="13"/>
    <n v="3535"/>
    <n v="1555.4"/>
    <n v="1979.6"/>
    <n v="56"/>
    <n v="1979.6"/>
  </r>
  <r>
    <x v="0"/>
    <n v="629523"/>
    <x v="0"/>
    <n v="588"/>
    <x v="14"/>
    <n v="3528"/>
    <n v="1617"/>
    <n v="1911"/>
    <n v="54.17"/>
    <n v="1911"/>
  </r>
  <r>
    <x v="3"/>
    <n v="330030"/>
    <x v="4"/>
    <n v="1175"/>
    <x v="5"/>
    <n v="3525"/>
    <n v="1468.75"/>
    <n v="2056.25"/>
    <n v="58.33"/>
    <n v="2056.25"/>
  </r>
  <r>
    <x v="4"/>
    <n v="567484"/>
    <x v="1"/>
    <n v="704"/>
    <x v="3"/>
    <n v="3520"/>
    <n v="1408"/>
    <n v="2112"/>
    <n v="60"/>
    <n v="2112"/>
  </r>
  <r>
    <x v="1"/>
    <n v="778322"/>
    <x v="1"/>
    <n v="700"/>
    <x v="10"/>
    <n v="3500"/>
    <n v="1400"/>
    <n v="2100"/>
    <n v="60"/>
    <n v="2100"/>
  </r>
  <r>
    <x v="2"/>
    <n v="666684"/>
    <x v="4"/>
    <n v="1153"/>
    <x v="5"/>
    <n v="3459"/>
    <n v="1441.25"/>
    <n v="2017.75"/>
    <n v="58.33"/>
    <n v="2017.75"/>
  </r>
  <r>
    <x v="0"/>
    <n v="578401"/>
    <x v="1"/>
    <n v="689"/>
    <x v="4"/>
    <n v="3445"/>
    <n v="1378"/>
    <n v="2067"/>
    <n v="60"/>
    <n v="2067"/>
  </r>
  <r>
    <x v="3"/>
    <n v="609418"/>
    <x v="0"/>
    <n v="567"/>
    <x v="13"/>
    <n v="3402"/>
    <n v="1559.25"/>
    <n v="1842.75"/>
    <n v="54.17"/>
    <n v="1842.75"/>
  </r>
  <r>
    <x v="1"/>
    <n v="456841"/>
    <x v="1"/>
    <n v="678"/>
    <x v="6"/>
    <n v="3390"/>
    <n v="1356"/>
    <n v="2034"/>
    <n v="60"/>
    <n v="2034"/>
  </r>
  <r>
    <x v="1"/>
    <n v="441711"/>
    <x v="4"/>
    <n v="1123"/>
    <x v="11"/>
    <n v="3369"/>
    <n v="1403.75"/>
    <n v="1965.25"/>
    <n v="58.33"/>
    <n v="1965.25"/>
  </r>
  <r>
    <x v="4"/>
    <n v="707858"/>
    <x v="1"/>
    <n v="671"/>
    <x v="3"/>
    <n v="3355"/>
    <n v="1342"/>
    <n v="2013"/>
    <n v="60"/>
    <n v="2013"/>
  </r>
  <r>
    <x v="2"/>
    <n v="397008"/>
    <x v="2"/>
    <n v="671"/>
    <x v="3"/>
    <n v="3355"/>
    <n v="1476.2"/>
    <n v="1878.8"/>
    <n v="56"/>
    <n v="1878.8"/>
  </r>
  <r>
    <x v="4"/>
    <n v="197116"/>
    <x v="0"/>
    <n v="555"/>
    <x v="0"/>
    <n v="3330"/>
    <n v="1526.25"/>
    <n v="1803.75"/>
    <n v="54.17"/>
    <n v="1803.75"/>
  </r>
  <r>
    <x v="4"/>
    <n v="355733"/>
    <x v="3"/>
    <n v="831"/>
    <x v="7"/>
    <n v="3324"/>
    <n v="1246.5"/>
    <n v="2077.5"/>
    <n v="62.5"/>
    <n v="2077.5"/>
  </r>
  <r>
    <x v="1"/>
    <n v="847203"/>
    <x v="1"/>
    <n v="662"/>
    <x v="4"/>
    <n v="3310"/>
    <n v="1324"/>
    <n v="1986"/>
    <n v="60"/>
    <n v="1986"/>
  </r>
  <r>
    <x v="0"/>
    <n v="433084"/>
    <x v="0"/>
    <n v="547"/>
    <x v="10"/>
    <n v="3282"/>
    <n v="1504.25"/>
    <n v="1777.75"/>
    <n v="54.17"/>
    <n v="1777.75"/>
  </r>
  <r>
    <x v="2"/>
    <n v="865204"/>
    <x v="3"/>
    <n v="819"/>
    <x v="2"/>
    <n v="3276"/>
    <n v="1228.5"/>
    <n v="2047.5"/>
    <n v="62.5"/>
    <n v="2047.5"/>
  </r>
  <r>
    <x v="1"/>
    <n v="214845"/>
    <x v="0"/>
    <n v="544"/>
    <x v="14"/>
    <n v="3264"/>
    <n v="1496"/>
    <n v="1768"/>
    <n v="54.17"/>
    <n v="1768"/>
  </r>
  <r>
    <x v="1"/>
    <n v="372739"/>
    <x v="3"/>
    <n v="801"/>
    <x v="2"/>
    <n v="3204"/>
    <n v="1201.5"/>
    <n v="2002.5"/>
    <n v="62.5"/>
    <n v="2002.5"/>
  </r>
  <r>
    <x v="0"/>
    <n v="480891"/>
    <x v="2"/>
    <n v="635"/>
    <x v="15"/>
    <n v="3175"/>
    <n v="1397"/>
    <n v="1778"/>
    <n v="56"/>
    <n v="1778"/>
  </r>
  <r>
    <x v="1"/>
    <n v="242657"/>
    <x v="3"/>
    <n v="792"/>
    <x v="12"/>
    <n v="3168"/>
    <n v="1188"/>
    <n v="1980"/>
    <n v="62.5"/>
    <n v="1980"/>
  </r>
  <r>
    <x v="3"/>
    <n v="183779"/>
    <x v="2"/>
    <n v="615"/>
    <x v="15"/>
    <n v="3075"/>
    <n v="1353"/>
    <n v="1722"/>
    <n v="56"/>
    <n v="1722"/>
  </r>
  <r>
    <x v="0"/>
    <n v="576749"/>
    <x v="3"/>
    <n v="766"/>
    <x v="3"/>
    <n v="3064"/>
    <n v="1149"/>
    <n v="1915"/>
    <n v="62.5"/>
    <n v="1915"/>
  </r>
  <r>
    <x v="2"/>
    <n v="581762"/>
    <x v="0"/>
    <n v="510"/>
    <x v="1"/>
    <n v="3060"/>
    <n v="1402.5"/>
    <n v="1657.5"/>
    <n v="54.17"/>
    <n v="1657.5"/>
  </r>
  <r>
    <x v="1"/>
    <n v="208723"/>
    <x v="4"/>
    <n v="1010"/>
    <x v="5"/>
    <n v="3030"/>
    <n v="1262.5"/>
    <n v="1767.5"/>
    <n v="58.33"/>
    <n v="1767.5"/>
  </r>
  <r>
    <x v="1"/>
    <n v="808356"/>
    <x v="4"/>
    <n v="1005"/>
    <x v="8"/>
    <n v="3015"/>
    <n v="1256.25"/>
    <n v="1758.75"/>
    <n v="58.33"/>
    <n v="1758.75"/>
  </r>
  <r>
    <x v="3"/>
    <n v="369627"/>
    <x v="1"/>
    <n v="602"/>
    <x v="4"/>
    <n v="3010"/>
    <n v="1204"/>
    <n v="1806"/>
    <n v="60"/>
    <n v="1806"/>
  </r>
  <r>
    <x v="4"/>
    <n v="600167"/>
    <x v="0"/>
    <n v="500"/>
    <x v="12"/>
    <n v="3000"/>
    <n v="1375"/>
    <n v="1625"/>
    <n v="54.17"/>
    <n v="1625"/>
  </r>
  <r>
    <x v="0"/>
    <n v="295198"/>
    <x v="5"/>
    <n v="2996"/>
    <x v="3"/>
    <n v="2996"/>
    <n v="1498"/>
    <n v="1498"/>
    <n v="50"/>
    <n v="1498"/>
  </r>
  <r>
    <x v="1"/>
    <n v="644686"/>
    <x v="5"/>
    <n v="2992"/>
    <x v="3"/>
    <n v="2992"/>
    <n v="1496"/>
    <n v="1496"/>
    <n v="50"/>
    <n v="1496"/>
  </r>
  <r>
    <x v="4"/>
    <n v="178855"/>
    <x v="3"/>
    <n v="743"/>
    <x v="1"/>
    <n v="2970"/>
    <n v="1113.75"/>
    <n v="1856.25"/>
    <n v="62.5"/>
    <n v="1856.25"/>
  </r>
  <r>
    <x v="4"/>
    <n v="305275"/>
    <x v="4"/>
    <n v="986"/>
    <x v="5"/>
    <n v="2958"/>
    <n v="1232.5"/>
    <n v="1725.5"/>
    <n v="58.33"/>
    <n v="1725.5"/>
  </r>
  <r>
    <x v="3"/>
    <n v="354480"/>
    <x v="4"/>
    <n v="986"/>
    <x v="13"/>
    <n v="2958"/>
    <n v="1232.5"/>
    <n v="1725.5"/>
    <n v="58.33"/>
    <n v="1725.5"/>
  </r>
  <r>
    <x v="2"/>
    <n v="197639"/>
    <x v="1"/>
    <n v="591"/>
    <x v="7"/>
    <n v="2955"/>
    <n v="1182"/>
    <n v="1773"/>
    <n v="60"/>
    <n v="1773"/>
  </r>
  <r>
    <x v="1"/>
    <n v="421883"/>
    <x v="3"/>
    <n v="727"/>
    <x v="9"/>
    <n v="2908"/>
    <n v="1090.5"/>
    <n v="1817.5"/>
    <n v="62.5"/>
    <n v="1817.5"/>
  </r>
  <r>
    <x v="2"/>
    <n v="884057"/>
    <x v="2"/>
    <n v="579"/>
    <x v="0"/>
    <n v="2895"/>
    <n v="1273.8"/>
    <n v="1621.2"/>
    <n v="56"/>
    <n v="1621.2"/>
  </r>
  <r>
    <x v="1"/>
    <n v="619210"/>
    <x v="4"/>
    <n v="959"/>
    <x v="9"/>
    <n v="2877"/>
    <n v="1198.75"/>
    <n v="1678.25"/>
    <n v="58.33"/>
    <n v="1678.25"/>
  </r>
  <r>
    <x v="2"/>
    <n v="868182"/>
    <x v="1"/>
    <n v="571"/>
    <x v="2"/>
    <n v="2855"/>
    <n v="1142"/>
    <n v="1713"/>
    <n v="60"/>
    <n v="1713"/>
  </r>
  <r>
    <x v="0"/>
    <n v="873031"/>
    <x v="5"/>
    <n v="2851"/>
    <x v="3"/>
    <n v="2851"/>
    <n v="1425.5"/>
    <n v="1425.5"/>
    <n v="50"/>
    <n v="1425.5"/>
  </r>
  <r>
    <x v="3"/>
    <n v="885051"/>
    <x v="0"/>
    <n v="472"/>
    <x v="5"/>
    <n v="2832"/>
    <n v="1298"/>
    <n v="1534"/>
    <n v="54.17"/>
    <n v="1534"/>
  </r>
  <r>
    <x v="4"/>
    <n v="540473"/>
    <x v="4"/>
    <n v="944"/>
    <x v="1"/>
    <n v="2830.5"/>
    <n v="1179.3800000000001"/>
    <n v="1651.13"/>
    <n v="58.33"/>
    <n v="1651.13"/>
  </r>
  <r>
    <x v="0"/>
    <n v="390387"/>
    <x v="5"/>
    <n v="2797"/>
    <x v="15"/>
    <n v="2797"/>
    <n v="1398.5"/>
    <n v="1398.5"/>
    <n v="50"/>
    <n v="1398.5"/>
  </r>
  <r>
    <x v="2"/>
    <n v="399302"/>
    <x v="2"/>
    <n v="552"/>
    <x v="6"/>
    <n v="2760"/>
    <n v="1214.4000000000001"/>
    <n v="1545.6"/>
    <n v="56"/>
    <n v="1545.6"/>
  </r>
  <r>
    <x v="0"/>
    <n v="745878"/>
    <x v="3"/>
    <n v="689"/>
    <x v="4"/>
    <n v="2756"/>
    <n v="1033.5"/>
    <n v="1722.5"/>
    <n v="62.5"/>
    <n v="1722.5"/>
  </r>
  <r>
    <x v="4"/>
    <n v="738711"/>
    <x v="1"/>
    <n v="549"/>
    <x v="8"/>
    <n v="2745"/>
    <n v="1098"/>
    <n v="1647"/>
    <n v="60"/>
    <n v="1647"/>
  </r>
  <r>
    <x v="3"/>
    <n v="533611"/>
    <x v="5"/>
    <n v="2734"/>
    <x v="5"/>
    <n v="2734"/>
    <n v="1367"/>
    <n v="1367"/>
    <n v="50"/>
    <n v="1367"/>
  </r>
  <r>
    <x v="0"/>
    <n v="578917"/>
    <x v="2"/>
    <n v="546"/>
    <x v="5"/>
    <n v="2730"/>
    <n v="1201.2"/>
    <n v="1528.8"/>
    <n v="56"/>
    <n v="1528.8"/>
  </r>
  <r>
    <x v="1"/>
    <n v="128675"/>
    <x v="5"/>
    <n v="2723"/>
    <x v="10"/>
    <n v="2723"/>
    <n v="1361.5"/>
    <n v="1361.5"/>
    <n v="50"/>
    <n v="1361.5"/>
  </r>
  <r>
    <x v="2"/>
    <n v="252717"/>
    <x v="5"/>
    <n v="2666"/>
    <x v="2"/>
    <n v="2665.5"/>
    <n v="1332.75"/>
    <n v="1332.75"/>
    <n v="50"/>
    <n v="1332.75"/>
  </r>
  <r>
    <x v="0"/>
    <n v="641259"/>
    <x v="4"/>
    <n v="888"/>
    <x v="4"/>
    <n v="2664"/>
    <n v="1110"/>
    <n v="1554"/>
    <n v="58.33"/>
    <n v="1554"/>
  </r>
  <r>
    <x v="4"/>
    <n v="200053"/>
    <x v="5"/>
    <n v="2661"/>
    <x v="7"/>
    <n v="2661"/>
    <n v="1330.5"/>
    <n v="1330.5"/>
    <n v="50"/>
    <n v="1330.5"/>
  </r>
  <r>
    <x v="1"/>
    <n v="273665"/>
    <x v="3"/>
    <n v="663"/>
    <x v="7"/>
    <n v="2652"/>
    <n v="994.5"/>
    <n v="1657.5"/>
    <n v="62.5"/>
    <n v="1657.5"/>
  </r>
  <r>
    <x v="0"/>
    <n v="747194"/>
    <x v="4"/>
    <n v="880"/>
    <x v="7"/>
    <n v="2640"/>
    <n v="1100"/>
    <n v="1540"/>
    <n v="58.33"/>
    <n v="1540"/>
  </r>
  <r>
    <x v="0"/>
    <n v="867837"/>
    <x v="4"/>
    <n v="877"/>
    <x v="10"/>
    <n v="2631"/>
    <n v="1096.25"/>
    <n v="1534.75"/>
    <n v="58.33"/>
    <n v="1534.75"/>
  </r>
  <r>
    <x v="1"/>
    <n v="818048"/>
    <x v="4"/>
    <n v="866"/>
    <x v="7"/>
    <n v="2598"/>
    <n v="1082.5"/>
    <n v="1515.5"/>
    <n v="58.33"/>
    <n v="1515.5"/>
  </r>
  <r>
    <x v="4"/>
    <n v="213778"/>
    <x v="4"/>
    <n v="866"/>
    <x v="2"/>
    <n v="2596.5"/>
    <n v="1081.8800000000001"/>
    <n v="1514.63"/>
    <n v="58.33"/>
    <n v="1514.63"/>
  </r>
  <r>
    <x v="0"/>
    <n v="830805"/>
    <x v="5"/>
    <n v="2518"/>
    <x v="4"/>
    <n v="2518"/>
    <n v="1259"/>
    <n v="1259"/>
    <n v="50"/>
    <n v="1259"/>
  </r>
  <r>
    <x v="3"/>
    <n v="179673"/>
    <x v="5"/>
    <n v="2501"/>
    <x v="12"/>
    <n v="2501"/>
    <n v="1250.5"/>
    <n v="1250.5"/>
    <n v="50"/>
    <n v="1250.5"/>
  </r>
  <r>
    <x v="2"/>
    <n v="443834"/>
    <x v="5"/>
    <n v="2500"/>
    <x v="11"/>
    <n v="2500"/>
    <n v="1250"/>
    <n v="1250"/>
    <n v="50"/>
    <n v="1250"/>
  </r>
  <r>
    <x v="0"/>
    <n v="539666"/>
    <x v="5"/>
    <n v="2498"/>
    <x v="8"/>
    <n v="2498"/>
    <n v="1249"/>
    <n v="1249"/>
    <n v="50"/>
    <n v="1249"/>
  </r>
  <r>
    <x v="2"/>
    <n v="249098"/>
    <x v="5"/>
    <n v="2470"/>
    <x v="4"/>
    <n v="2470"/>
    <n v="1235"/>
    <n v="1235"/>
    <n v="50"/>
    <n v="1235"/>
  </r>
  <r>
    <x v="4"/>
    <n v="617339"/>
    <x v="0"/>
    <n v="410"/>
    <x v="5"/>
    <n v="2460"/>
    <n v="1127.5"/>
    <n v="1332.5"/>
    <n v="54.17"/>
    <n v="1332.5"/>
  </r>
  <r>
    <x v="0"/>
    <n v="451947"/>
    <x v="4"/>
    <n v="808"/>
    <x v="14"/>
    <n v="2424"/>
    <n v="1010"/>
    <n v="1414"/>
    <n v="58.33"/>
    <n v="1414"/>
  </r>
  <r>
    <x v="2"/>
    <n v="741765"/>
    <x v="5"/>
    <n v="2420"/>
    <x v="13"/>
    <n v="2420"/>
    <n v="1210"/>
    <n v="1210"/>
    <n v="50"/>
    <n v="1210"/>
  </r>
  <r>
    <x v="0"/>
    <n v="460452"/>
    <x v="4"/>
    <n v="787"/>
    <x v="4"/>
    <n v="2361"/>
    <n v="983.75"/>
    <n v="1377.25"/>
    <n v="58.33"/>
    <n v="1377.25"/>
  </r>
  <r>
    <x v="2"/>
    <n v="323754"/>
    <x v="2"/>
    <n v="472"/>
    <x v="5"/>
    <n v="2360"/>
    <n v="1038.4000000000001"/>
    <n v="1321.6"/>
    <n v="56"/>
    <n v="1321.6"/>
  </r>
  <r>
    <x v="4"/>
    <n v="818777"/>
    <x v="5"/>
    <n v="2342"/>
    <x v="10"/>
    <n v="2342"/>
    <n v="1171"/>
    <n v="1171"/>
    <n v="50"/>
    <n v="1171"/>
  </r>
  <r>
    <x v="2"/>
    <n v="454312"/>
    <x v="5"/>
    <n v="2342"/>
    <x v="10"/>
    <n v="2342"/>
    <n v="1171"/>
    <n v="1171"/>
    <n v="50"/>
    <n v="1171"/>
  </r>
  <r>
    <x v="3"/>
    <n v="336365"/>
    <x v="5"/>
    <n v="2340"/>
    <x v="0"/>
    <n v="2340"/>
    <n v="1170"/>
    <n v="1170"/>
    <n v="50"/>
    <n v="1170"/>
  </r>
  <r>
    <x v="0"/>
    <n v="724808"/>
    <x v="5"/>
    <n v="2328"/>
    <x v="13"/>
    <n v="2328"/>
    <n v="1164"/>
    <n v="1164"/>
    <n v="50"/>
    <n v="1164"/>
  </r>
  <r>
    <x v="2"/>
    <n v="272243"/>
    <x v="5"/>
    <n v="2321"/>
    <x v="10"/>
    <n v="2321"/>
    <n v="1160.5"/>
    <n v="1160.5"/>
    <n v="50"/>
    <n v="1160.5"/>
  </r>
  <r>
    <x v="2"/>
    <n v="289924"/>
    <x v="0"/>
    <n v="386"/>
    <x v="11"/>
    <n v="2316"/>
    <n v="1061.5"/>
    <n v="1254.5"/>
    <n v="54.17"/>
    <n v="1254.5"/>
  </r>
  <r>
    <x v="0"/>
    <n v="561083"/>
    <x v="5"/>
    <n v="2313"/>
    <x v="7"/>
    <n v="2313"/>
    <n v="1156.5"/>
    <n v="1156.5"/>
    <n v="50"/>
    <n v="1156.5"/>
  </r>
  <r>
    <x v="0"/>
    <n v="120418"/>
    <x v="0"/>
    <n v="384"/>
    <x v="0"/>
    <n v="2304"/>
    <n v="1056"/>
    <n v="1248"/>
    <n v="54.17"/>
    <n v="1248"/>
  </r>
  <r>
    <x v="2"/>
    <n v="142538"/>
    <x v="5"/>
    <n v="2301"/>
    <x v="1"/>
    <n v="2301"/>
    <n v="1150.5"/>
    <n v="1150.5"/>
    <n v="50"/>
    <n v="1150.5"/>
  </r>
  <r>
    <x v="0"/>
    <n v="138137"/>
    <x v="5"/>
    <n v="2300"/>
    <x v="15"/>
    <n v="2300"/>
    <n v="1150"/>
    <n v="1150"/>
    <n v="50"/>
    <n v="1150"/>
  </r>
  <r>
    <x v="3"/>
    <n v="539656"/>
    <x v="3"/>
    <n v="570"/>
    <x v="15"/>
    <n v="2280"/>
    <n v="855"/>
    <n v="1425"/>
    <n v="62.5"/>
    <n v="1425"/>
  </r>
  <r>
    <x v="0"/>
    <n v="434964"/>
    <x v="5"/>
    <n v="2255"/>
    <x v="2"/>
    <n v="2255"/>
    <n v="1127.5"/>
    <n v="1127.5"/>
    <n v="50"/>
    <n v="1127.5"/>
  </r>
  <r>
    <x v="2"/>
    <n v="443447"/>
    <x v="3"/>
    <n v="562"/>
    <x v="13"/>
    <n v="2248"/>
    <n v="843"/>
    <n v="1405"/>
    <n v="62.5"/>
    <n v="1405"/>
  </r>
  <r>
    <x v="4"/>
    <n v="807061"/>
    <x v="1"/>
    <n v="448"/>
    <x v="4"/>
    <n v="2240"/>
    <n v="896"/>
    <n v="1344"/>
    <n v="60"/>
    <n v="1344"/>
  </r>
  <r>
    <x v="1"/>
    <n v="529423"/>
    <x v="5"/>
    <n v="2228"/>
    <x v="0"/>
    <n v="2227.5"/>
    <n v="1113.75"/>
    <n v="1113.75"/>
    <n v="50"/>
    <n v="1113.75"/>
  </r>
  <r>
    <x v="3"/>
    <n v="353832"/>
    <x v="5"/>
    <n v="2214"/>
    <x v="12"/>
    <n v="2214"/>
    <n v="1107"/>
    <n v="1107"/>
    <n v="50"/>
    <n v="1107"/>
  </r>
  <r>
    <x v="4"/>
    <n v="327845"/>
    <x v="4"/>
    <n v="727"/>
    <x v="4"/>
    <n v="2181"/>
    <n v="908.75"/>
    <n v="1272.25"/>
    <n v="58.33"/>
    <n v="1272.25"/>
  </r>
  <r>
    <x v="4"/>
    <n v="444955"/>
    <x v="5"/>
    <n v="2181"/>
    <x v="5"/>
    <n v="2181"/>
    <n v="1090.5"/>
    <n v="1090.5"/>
    <n v="50"/>
    <n v="1090.5"/>
  </r>
  <r>
    <x v="4"/>
    <n v="729194"/>
    <x v="0"/>
    <n v="362"/>
    <x v="7"/>
    <n v="2172"/>
    <n v="995.5"/>
    <n v="1176.5"/>
    <n v="54.17"/>
    <n v="1176.5"/>
  </r>
  <r>
    <x v="4"/>
    <n v="881771"/>
    <x v="5"/>
    <n v="2157"/>
    <x v="15"/>
    <n v="2157"/>
    <n v="1078.5"/>
    <n v="1078.5"/>
    <n v="50"/>
    <n v="1078.5"/>
  </r>
  <r>
    <x v="2"/>
    <n v="366159"/>
    <x v="5"/>
    <n v="2146"/>
    <x v="13"/>
    <n v="2146"/>
    <n v="1073"/>
    <n v="1073"/>
    <n v="50"/>
    <n v="1073"/>
  </r>
  <r>
    <x v="3"/>
    <n v="361276"/>
    <x v="3"/>
    <n v="521"/>
    <x v="15"/>
    <n v="2084"/>
    <n v="781.5"/>
    <n v="1302.5"/>
    <n v="62.5"/>
    <n v="1302.5"/>
  </r>
  <r>
    <x v="1"/>
    <n v="742570"/>
    <x v="5"/>
    <n v="2072"/>
    <x v="15"/>
    <n v="2072"/>
    <n v="1036"/>
    <n v="1036"/>
    <n v="50"/>
    <n v="1036"/>
  </r>
  <r>
    <x v="0"/>
    <n v="725066"/>
    <x v="0"/>
    <n v="345"/>
    <x v="3"/>
    <n v="2070"/>
    <n v="948.75"/>
    <n v="1121.25"/>
    <n v="54.17"/>
    <n v="1121.25"/>
  </r>
  <r>
    <x v="1"/>
    <n v="403071"/>
    <x v="0"/>
    <n v="344"/>
    <x v="3"/>
    <n v="2064"/>
    <n v="946"/>
    <n v="1118"/>
    <n v="54.17"/>
    <n v="1118"/>
  </r>
  <r>
    <x v="4"/>
    <n v="148871"/>
    <x v="2"/>
    <n v="410"/>
    <x v="5"/>
    <n v="2050"/>
    <n v="902"/>
    <n v="1148"/>
    <n v="56"/>
    <n v="1148"/>
  </r>
  <r>
    <x v="4"/>
    <n v="801641"/>
    <x v="5"/>
    <n v="2031"/>
    <x v="5"/>
    <n v="2031"/>
    <n v="1015.5"/>
    <n v="1015.5"/>
    <n v="50"/>
    <n v="1015.5"/>
  </r>
  <r>
    <x v="2"/>
    <n v="574744"/>
    <x v="5"/>
    <n v="2021"/>
    <x v="5"/>
    <n v="2021"/>
    <n v="1010.5"/>
    <n v="1010.5"/>
    <n v="50"/>
    <n v="1010.5"/>
  </r>
  <r>
    <x v="1"/>
    <n v="160577"/>
    <x v="4"/>
    <n v="662"/>
    <x v="4"/>
    <n v="1986"/>
    <n v="827.5"/>
    <n v="1158.5"/>
    <n v="58.33"/>
    <n v="1158.5"/>
  </r>
  <r>
    <x v="2"/>
    <n v="757336"/>
    <x v="5"/>
    <n v="1976"/>
    <x v="5"/>
    <n v="1976"/>
    <n v="988"/>
    <n v="988"/>
    <n v="50"/>
    <n v="988"/>
  </r>
  <r>
    <x v="1"/>
    <n v="238485"/>
    <x v="3"/>
    <n v="494"/>
    <x v="3"/>
    <n v="1976"/>
    <n v="741"/>
    <n v="1235"/>
    <n v="62.5"/>
    <n v="1235"/>
  </r>
  <r>
    <x v="2"/>
    <n v="823953"/>
    <x v="5"/>
    <n v="1967"/>
    <x v="12"/>
    <n v="1967"/>
    <n v="983.5"/>
    <n v="983.5"/>
    <n v="50"/>
    <n v="983.5"/>
  </r>
  <r>
    <x v="3"/>
    <n v="297812"/>
    <x v="3"/>
    <n v="490"/>
    <x v="10"/>
    <n v="1960"/>
    <n v="735"/>
    <n v="1225"/>
    <n v="62.5"/>
    <n v="1225"/>
  </r>
  <r>
    <x v="1"/>
    <n v="570270"/>
    <x v="5"/>
    <n v="1958"/>
    <x v="9"/>
    <n v="1958"/>
    <n v="979"/>
    <n v="979"/>
    <n v="50"/>
    <n v="979"/>
  </r>
  <r>
    <x v="0"/>
    <n v="686651"/>
    <x v="1"/>
    <n v="386"/>
    <x v="3"/>
    <n v="1930"/>
    <n v="772"/>
    <n v="1158"/>
    <n v="60"/>
    <n v="1158"/>
  </r>
  <r>
    <x v="4"/>
    <n v="485947"/>
    <x v="4"/>
    <n v="641"/>
    <x v="2"/>
    <n v="1923"/>
    <n v="801.25"/>
    <n v="1121.75"/>
    <n v="58.33"/>
    <n v="1121.75"/>
  </r>
  <r>
    <x v="3"/>
    <n v="445507"/>
    <x v="5"/>
    <n v="1901"/>
    <x v="4"/>
    <n v="1901"/>
    <n v="950.5"/>
    <n v="950.5"/>
    <n v="50"/>
    <n v="950.5"/>
  </r>
  <r>
    <x v="0"/>
    <n v="607709"/>
    <x v="1"/>
    <n v="380"/>
    <x v="8"/>
    <n v="1900"/>
    <n v="760"/>
    <n v="1140"/>
    <n v="60"/>
    <n v="1140"/>
  </r>
  <r>
    <x v="2"/>
    <n v="737790"/>
    <x v="1"/>
    <n v="380"/>
    <x v="14"/>
    <n v="1900"/>
    <n v="760"/>
    <n v="1140"/>
    <n v="60"/>
    <n v="1140"/>
  </r>
  <r>
    <x v="1"/>
    <n v="138739"/>
    <x v="5"/>
    <n v="1899"/>
    <x v="4"/>
    <n v="1899"/>
    <n v="949.5"/>
    <n v="949.5"/>
    <n v="50"/>
    <n v="949.5"/>
  </r>
  <r>
    <x v="2"/>
    <n v="362208"/>
    <x v="4"/>
    <n v="623"/>
    <x v="8"/>
    <n v="1869"/>
    <n v="778.75"/>
    <n v="1090.25"/>
    <n v="58.33"/>
    <n v="1090.25"/>
  </r>
  <r>
    <x v="0"/>
    <n v="539522"/>
    <x v="5"/>
    <n v="1859"/>
    <x v="6"/>
    <n v="1859"/>
    <n v="929.5"/>
    <n v="929.5"/>
    <n v="50"/>
    <n v="929.5"/>
  </r>
  <r>
    <x v="0"/>
    <n v="431913"/>
    <x v="5"/>
    <n v="1857"/>
    <x v="11"/>
    <n v="1857"/>
    <n v="928.5"/>
    <n v="928.5"/>
    <n v="50"/>
    <n v="928.5"/>
  </r>
  <r>
    <x v="3"/>
    <n v="266313"/>
    <x v="1"/>
    <n v="367"/>
    <x v="3"/>
    <n v="1835"/>
    <n v="734"/>
    <n v="1101"/>
    <n v="60"/>
    <n v="1101"/>
  </r>
  <r>
    <x v="3"/>
    <n v="898637"/>
    <x v="1"/>
    <n v="367"/>
    <x v="2"/>
    <n v="1835"/>
    <n v="734"/>
    <n v="1101"/>
    <n v="60"/>
    <n v="1101"/>
  </r>
  <r>
    <x v="2"/>
    <n v="459280"/>
    <x v="5"/>
    <n v="1830"/>
    <x v="6"/>
    <n v="1830"/>
    <n v="915"/>
    <n v="915"/>
    <n v="50"/>
    <n v="915"/>
  </r>
  <r>
    <x v="1"/>
    <n v="352793"/>
    <x v="5"/>
    <n v="1804"/>
    <x v="11"/>
    <n v="1804"/>
    <n v="902"/>
    <n v="902"/>
    <n v="50"/>
    <n v="902"/>
  </r>
  <r>
    <x v="3"/>
    <n v="336267"/>
    <x v="1"/>
    <n v="360"/>
    <x v="5"/>
    <n v="1800"/>
    <n v="720"/>
    <n v="1080"/>
    <n v="60"/>
    <n v="1080"/>
  </r>
  <r>
    <x v="1"/>
    <n v="806978"/>
    <x v="5"/>
    <n v="1797"/>
    <x v="8"/>
    <n v="1797"/>
    <n v="898.5"/>
    <n v="898.5"/>
    <n v="50"/>
    <n v="898.5"/>
  </r>
  <r>
    <x v="1"/>
    <n v="115306"/>
    <x v="3"/>
    <n v="448"/>
    <x v="4"/>
    <n v="1792"/>
    <n v="672"/>
    <n v="1120"/>
    <n v="62.5"/>
    <n v="1120"/>
  </r>
  <r>
    <x v="0"/>
    <n v="448428"/>
    <x v="1"/>
    <n v="357"/>
    <x v="10"/>
    <n v="1785"/>
    <n v="714"/>
    <n v="1071"/>
    <n v="60"/>
    <n v="1071"/>
  </r>
  <r>
    <x v="3"/>
    <n v="433556"/>
    <x v="5"/>
    <n v="1773"/>
    <x v="1"/>
    <n v="1773"/>
    <n v="886.5"/>
    <n v="886.5"/>
    <n v="50"/>
    <n v="886.5"/>
  </r>
  <r>
    <x v="0"/>
    <n v="676544"/>
    <x v="3"/>
    <n v="442"/>
    <x v="8"/>
    <n v="1768"/>
    <n v="663"/>
    <n v="1105"/>
    <n v="62.5"/>
    <n v="1105"/>
  </r>
  <r>
    <x v="0"/>
    <n v="215754"/>
    <x v="5"/>
    <n v="1757"/>
    <x v="3"/>
    <n v="1757"/>
    <n v="878.5"/>
    <n v="878.5"/>
    <n v="50"/>
    <n v="878.5"/>
  </r>
  <r>
    <x v="2"/>
    <n v="164574"/>
    <x v="5"/>
    <n v="1727"/>
    <x v="3"/>
    <n v="1727"/>
    <n v="863.5"/>
    <n v="863.5"/>
    <n v="50"/>
    <n v="863.5"/>
  </r>
  <r>
    <x v="0"/>
    <n v="324307"/>
    <x v="4"/>
    <n v="575"/>
    <x v="1"/>
    <n v="1723.5"/>
    <n v="718.13"/>
    <n v="1005.38"/>
    <n v="58.33"/>
    <n v="1005.38"/>
  </r>
  <r>
    <x v="4"/>
    <n v="423355"/>
    <x v="2"/>
    <n v="344"/>
    <x v="3"/>
    <n v="1720"/>
    <n v="756.8"/>
    <n v="963.2"/>
    <n v="56"/>
    <n v="963.2"/>
  </r>
  <r>
    <x v="3"/>
    <n v="347412"/>
    <x v="5"/>
    <n v="1715"/>
    <x v="3"/>
    <n v="1715"/>
    <n v="857.5"/>
    <n v="857.5"/>
    <n v="50"/>
    <n v="857.5"/>
  </r>
  <r>
    <x v="3"/>
    <n v="899502"/>
    <x v="4"/>
    <n v="570"/>
    <x v="15"/>
    <n v="1710"/>
    <n v="712.5"/>
    <n v="997.5"/>
    <n v="58.33"/>
    <n v="997.5"/>
  </r>
  <r>
    <x v="0"/>
    <n v="494228"/>
    <x v="5"/>
    <n v="1706"/>
    <x v="15"/>
    <n v="1706"/>
    <n v="853"/>
    <n v="853"/>
    <n v="50"/>
    <n v="853"/>
  </r>
  <r>
    <x v="3"/>
    <n v="487819"/>
    <x v="5"/>
    <n v="1666"/>
    <x v="7"/>
    <n v="1666"/>
    <n v="833"/>
    <n v="833"/>
    <n v="50"/>
    <n v="833"/>
  </r>
  <r>
    <x v="0"/>
    <n v="878522"/>
    <x v="4"/>
    <n v="554"/>
    <x v="0"/>
    <n v="1662"/>
    <n v="692.5"/>
    <n v="969.5"/>
    <n v="58.33"/>
    <n v="969.5"/>
  </r>
  <r>
    <x v="2"/>
    <n v="113657"/>
    <x v="5"/>
    <n v="1660"/>
    <x v="11"/>
    <n v="1660"/>
    <n v="830"/>
    <n v="830"/>
    <n v="50"/>
    <n v="830"/>
  </r>
  <r>
    <x v="2"/>
    <n v="483216"/>
    <x v="4"/>
    <n v="552"/>
    <x v="10"/>
    <n v="1656"/>
    <n v="690"/>
    <n v="966"/>
    <n v="58.33"/>
    <n v="966"/>
  </r>
  <r>
    <x v="3"/>
    <n v="867907"/>
    <x v="0"/>
    <n v="269"/>
    <x v="3"/>
    <n v="1614"/>
    <n v="739.75"/>
    <n v="874.25"/>
    <n v="54.17"/>
    <n v="874.25"/>
  </r>
  <r>
    <x v="3"/>
    <n v="270516"/>
    <x v="5"/>
    <n v="1611"/>
    <x v="14"/>
    <n v="1611"/>
    <n v="805.5"/>
    <n v="805.5"/>
    <n v="50"/>
    <n v="805.5"/>
  </r>
  <r>
    <x v="2"/>
    <n v="182735"/>
    <x v="2"/>
    <n v="321"/>
    <x v="11"/>
    <n v="1605"/>
    <n v="706.2"/>
    <n v="898.8"/>
    <n v="56"/>
    <n v="898.8"/>
  </r>
  <r>
    <x v="4"/>
    <n v="326089"/>
    <x v="5"/>
    <n v="1566"/>
    <x v="5"/>
    <n v="1566"/>
    <n v="783"/>
    <n v="783"/>
    <n v="50"/>
    <n v="783"/>
  </r>
  <r>
    <x v="4"/>
    <n v="102288"/>
    <x v="4"/>
    <n v="521"/>
    <x v="15"/>
    <n v="1563"/>
    <n v="651.25"/>
    <n v="911.75"/>
    <n v="58.33"/>
    <n v="911.75"/>
  </r>
  <r>
    <x v="0"/>
    <n v="141979"/>
    <x v="5"/>
    <n v="1562"/>
    <x v="6"/>
    <n v="1562"/>
    <n v="781"/>
    <n v="781"/>
    <n v="50"/>
    <n v="781"/>
  </r>
  <r>
    <x v="3"/>
    <n v="830819"/>
    <x v="5"/>
    <n v="1545"/>
    <x v="4"/>
    <n v="1545"/>
    <n v="772.5"/>
    <n v="772.5"/>
    <n v="50"/>
    <n v="772.5"/>
  </r>
  <r>
    <x v="2"/>
    <n v="395290"/>
    <x v="3"/>
    <n v="386"/>
    <x v="3"/>
    <n v="1544"/>
    <n v="579"/>
    <n v="965"/>
    <n v="62.5"/>
    <n v="965"/>
  </r>
  <r>
    <x v="3"/>
    <n v="581556"/>
    <x v="2"/>
    <n v="306"/>
    <x v="14"/>
    <n v="1530"/>
    <n v="673.2"/>
    <n v="856.8"/>
    <n v="56"/>
    <n v="856.8"/>
  </r>
  <r>
    <x v="0"/>
    <n v="243929"/>
    <x v="4"/>
    <n v="494"/>
    <x v="3"/>
    <n v="1482"/>
    <n v="617.5"/>
    <n v="864.5"/>
    <n v="58.33"/>
    <n v="864.5"/>
  </r>
  <r>
    <x v="2"/>
    <n v="414407"/>
    <x v="4"/>
    <n v="492"/>
    <x v="2"/>
    <n v="1476"/>
    <n v="615"/>
    <n v="861"/>
    <n v="58.33"/>
    <n v="861"/>
  </r>
  <r>
    <x v="4"/>
    <n v="847731"/>
    <x v="0"/>
    <n v="245"/>
    <x v="7"/>
    <n v="1470"/>
    <n v="673.75"/>
    <n v="796.25"/>
    <n v="54.17"/>
    <n v="796.25"/>
  </r>
  <r>
    <x v="1"/>
    <n v="496752"/>
    <x v="3"/>
    <n v="367"/>
    <x v="3"/>
    <n v="1468"/>
    <n v="550.5"/>
    <n v="917.5"/>
    <n v="62.5"/>
    <n v="917.5"/>
  </r>
  <r>
    <x v="2"/>
    <n v="809091"/>
    <x v="1"/>
    <n v="293"/>
    <x v="15"/>
    <n v="1465"/>
    <n v="586"/>
    <n v="879"/>
    <n v="60"/>
    <n v="879"/>
  </r>
  <r>
    <x v="3"/>
    <n v="199458"/>
    <x v="5"/>
    <n v="1460"/>
    <x v="7"/>
    <n v="1460"/>
    <n v="730"/>
    <n v="730"/>
    <n v="50"/>
    <n v="730"/>
  </r>
  <r>
    <x v="0"/>
    <n v="266868"/>
    <x v="1"/>
    <n v="292"/>
    <x v="9"/>
    <n v="1460"/>
    <n v="584"/>
    <n v="876"/>
    <n v="60"/>
    <n v="876"/>
  </r>
  <r>
    <x v="3"/>
    <n v="775311"/>
    <x v="0"/>
    <n v="241"/>
    <x v="5"/>
    <n v="1446"/>
    <n v="662.75"/>
    <n v="783.25"/>
    <n v="54.17"/>
    <n v="783.25"/>
  </r>
  <r>
    <x v="2"/>
    <n v="294390"/>
    <x v="5"/>
    <n v="1403"/>
    <x v="3"/>
    <n v="1403"/>
    <n v="701.5"/>
    <n v="701.5"/>
    <n v="50"/>
    <n v="701.5"/>
  </r>
  <r>
    <x v="0"/>
    <n v="217341"/>
    <x v="1"/>
    <n v="278"/>
    <x v="9"/>
    <n v="1390"/>
    <n v="556"/>
    <n v="834"/>
    <n v="60"/>
    <n v="834"/>
  </r>
  <r>
    <x v="0"/>
    <n v="779079"/>
    <x v="5"/>
    <n v="1385"/>
    <x v="0"/>
    <n v="1384.5"/>
    <n v="692.25"/>
    <n v="692.25"/>
    <n v="50"/>
    <n v="692.25"/>
  </r>
  <r>
    <x v="2"/>
    <n v="892418"/>
    <x v="5"/>
    <n v="1376"/>
    <x v="2"/>
    <n v="1375.5"/>
    <n v="687.75"/>
    <n v="687.75"/>
    <n v="50"/>
    <n v="687.75"/>
  </r>
  <r>
    <x v="0"/>
    <n v="817134"/>
    <x v="1"/>
    <n v="274"/>
    <x v="15"/>
    <n v="1370"/>
    <n v="548"/>
    <n v="822"/>
    <n v="60"/>
    <n v="822"/>
  </r>
  <r>
    <x v="2"/>
    <n v="605154"/>
    <x v="5"/>
    <n v="1368"/>
    <x v="9"/>
    <n v="1368"/>
    <n v="684"/>
    <n v="684"/>
    <n v="50"/>
    <n v="684"/>
  </r>
  <r>
    <x v="2"/>
    <n v="531656"/>
    <x v="2"/>
    <n v="270"/>
    <x v="9"/>
    <n v="1350"/>
    <n v="594"/>
    <n v="756"/>
    <n v="56"/>
    <n v="756"/>
  </r>
  <r>
    <x v="0"/>
    <n v="609851"/>
    <x v="1"/>
    <n v="267"/>
    <x v="3"/>
    <n v="1335"/>
    <n v="534"/>
    <n v="801"/>
    <n v="60"/>
    <n v="801"/>
  </r>
  <r>
    <x v="0"/>
    <n v="616987"/>
    <x v="3"/>
    <n v="330"/>
    <x v="8"/>
    <n v="1320"/>
    <n v="495"/>
    <n v="825"/>
    <n v="62.5"/>
    <n v="825"/>
  </r>
  <r>
    <x v="3"/>
    <n v="633142"/>
    <x v="4"/>
    <n v="437"/>
    <x v="2"/>
    <n v="1309.5"/>
    <n v="545.63"/>
    <n v="763.88"/>
    <n v="58.33"/>
    <n v="763.88"/>
  </r>
  <r>
    <x v="0"/>
    <n v="358353"/>
    <x v="1"/>
    <n v="260"/>
    <x v="9"/>
    <n v="1300"/>
    <n v="520"/>
    <n v="780"/>
    <n v="60"/>
    <n v="780"/>
  </r>
  <r>
    <x v="3"/>
    <n v="541297"/>
    <x v="5"/>
    <n v="1298"/>
    <x v="9"/>
    <n v="1298"/>
    <n v="649"/>
    <n v="649"/>
    <n v="50"/>
    <n v="649"/>
  </r>
  <r>
    <x v="1"/>
    <n v="494850"/>
    <x v="4"/>
    <n v="432"/>
    <x v="13"/>
    <n v="1296"/>
    <n v="540"/>
    <n v="756"/>
    <n v="58.33"/>
    <n v="756"/>
  </r>
  <r>
    <x v="0"/>
    <n v="150101"/>
    <x v="2"/>
    <n v="259"/>
    <x v="12"/>
    <n v="1295"/>
    <n v="569.79999999999995"/>
    <n v="725.2"/>
    <n v="56"/>
    <n v="725.2"/>
  </r>
  <r>
    <x v="0"/>
    <n v="637451"/>
    <x v="5"/>
    <n v="1287"/>
    <x v="15"/>
    <n v="1287"/>
    <n v="643.5"/>
    <n v="643.5"/>
    <n v="50"/>
    <n v="643.5"/>
  </r>
  <r>
    <x v="3"/>
    <n v="566983"/>
    <x v="1"/>
    <n v="257"/>
    <x v="7"/>
    <n v="1285"/>
    <n v="514"/>
    <n v="771"/>
    <n v="60"/>
    <n v="771"/>
  </r>
  <r>
    <x v="0"/>
    <n v="781308"/>
    <x v="5"/>
    <n v="1283"/>
    <x v="8"/>
    <n v="1283"/>
    <n v="641.5"/>
    <n v="641.5"/>
    <n v="50"/>
    <n v="641.5"/>
  </r>
  <r>
    <x v="4"/>
    <n v="173001"/>
    <x v="5"/>
    <n v="1282"/>
    <x v="4"/>
    <n v="1282"/>
    <n v="641"/>
    <n v="641"/>
    <n v="50"/>
    <n v="641"/>
  </r>
  <r>
    <x v="4"/>
    <n v="350494"/>
    <x v="4"/>
    <n v="422"/>
    <x v="6"/>
    <n v="1266"/>
    <n v="527.5"/>
    <n v="738.5"/>
    <n v="58.33"/>
    <n v="738.5"/>
  </r>
  <r>
    <x v="0"/>
    <n v="505218"/>
    <x v="5"/>
    <n v="1249"/>
    <x v="5"/>
    <n v="1249"/>
    <n v="624.5"/>
    <n v="624.5"/>
    <n v="50"/>
    <n v="624.5"/>
  </r>
  <r>
    <x v="0"/>
    <n v="565251"/>
    <x v="1"/>
    <n v="241"/>
    <x v="5"/>
    <n v="1205"/>
    <n v="482"/>
    <n v="723"/>
    <n v="60"/>
    <n v="723"/>
  </r>
  <r>
    <x v="1"/>
    <n v="721311"/>
    <x v="5"/>
    <n v="1199"/>
    <x v="1"/>
    <n v="1199"/>
    <n v="599.5"/>
    <n v="599.5"/>
    <n v="50"/>
    <n v="599.5"/>
  </r>
  <r>
    <x v="4"/>
    <n v="469636"/>
    <x v="5"/>
    <n v="1186"/>
    <x v="14"/>
    <n v="1186"/>
    <n v="593"/>
    <n v="593"/>
    <n v="50"/>
    <n v="593"/>
  </r>
  <r>
    <x v="0"/>
    <n v="150704"/>
    <x v="5"/>
    <n v="1159"/>
    <x v="3"/>
    <n v="1159"/>
    <n v="579.5"/>
    <n v="579.5"/>
    <n v="50"/>
    <n v="579.5"/>
  </r>
  <r>
    <x v="0"/>
    <n v="464364"/>
    <x v="4"/>
    <n v="381"/>
    <x v="6"/>
    <n v="1143"/>
    <n v="476.25"/>
    <n v="666.75"/>
    <n v="58.33"/>
    <n v="666.75"/>
  </r>
  <r>
    <x v="0"/>
    <n v="652401"/>
    <x v="5"/>
    <n v="1142"/>
    <x v="4"/>
    <n v="1142"/>
    <n v="571"/>
    <n v="571"/>
    <n v="50"/>
    <n v="571"/>
  </r>
  <r>
    <x v="2"/>
    <n v="130685"/>
    <x v="5"/>
    <n v="1138"/>
    <x v="15"/>
    <n v="1138"/>
    <n v="569"/>
    <n v="569"/>
    <n v="50"/>
    <n v="569"/>
  </r>
  <r>
    <x v="2"/>
    <n v="684001"/>
    <x v="3"/>
    <n v="280"/>
    <x v="15"/>
    <n v="1120"/>
    <n v="420"/>
    <n v="700"/>
    <n v="62.5"/>
    <n v="700"/>
  </r>
  <r>
    <x v="4"/>
    <n v="830981"/>
    <x v="5"/>
    <n v="1100"/>
    <x v="14"/>
    <n v="1100"/>
    <n v="550"/>
    <n v="550"/>
    <n v="50"/>
    <n v="550"/>
  </r>
  <r>
    <x v="2"/>
    <n v="882680"/>
    <x v="3"/>
    <n v="274"/>
    <x v="15"/>
    <n v="1096"/>
    <n v="411"/>
    <n v="685"/>
    <n v="62.5"/>
    <n v="685"/>
  </r>
  <r>
    <x v="4"/>
    <n v="675035"/>
    <x v="1"/>
    <n v="218"/>
    <x v="13"/>
    <n v="1090"/>
    <n v="436"/>
    <n v="654"/>
    <n v="60"/>
    <n v="654"/>
  </r>
  <r>
    <x v="2"/>
    <n v="881898"/>
    <x v="4"/>
    <n v="360"/>
    <x v="5"/>
    <n v="1080"/>
    <n v="450"/>
    <n v="630"/>
    <n v="58.33"/>
    <n v="630"/>
  </r>
  <r>
    <x v="2"/>
    <n v="680427"/>
    <x v="3"/>
    <n v="263"/>
    <x v="11"/>
    <n v="1052"/>
    <n v="394.5"/>
    <n v="657.5"/>
    <n v="62.5"/>
    <n v="657.5"/>
  </r>
  <r>
    <x v="4"/>
    <n v="581507"/>
    <x v="4"/>
    <n v="349"/>
    <x v="8"/>
    <n v="1047"/>
    <n v="436.25"/>
    <n v="610.75"/>
    <n v="58.33"/>
    <n v="610.75"/>
  </r>
  <r>
    <x v="1"/>
    <n v="727045"/>
    <x v="4"/>
    <n v="341"/>
    <x v="7"/>
    <n v="1023"/>
    <n v="426.25"/>
    <n v="596.75"/>
    <n v="58.33"/>
    <n v="596.75"/>
  </r>
  <r>
    <x v="4"/>
    <n v="348844"/>
    <x v="5"/>
    <n v="983"/>
    <x v="0"/>
    <n v="982.5"/>
    <n v="491.25"/>
    <n v="491.25"/>
    <n v="50"/>
    <n v="491.25"/>
  </r>
  <r>
    <x v="4"/>
    <n v="503244"/>
    <x v="5"/>
    <n v="980"/>
    <x v="1"/>
    <n v="980"/>
    <n v="490"/>
    <n v="490"/>
    <n v="50"/>
    <n v="490"/>
  </r>
  <r>
    <x v="0"/>
    <n v="440487"/>
    <x v="5"/>
    <n v="958"/>
    <x v="6"/>
    <n v="958"/>
    <n v="479"/>
    <n v="479"/>
    <n v="50"/>
    <n v="479"/>
  </r>
  <r>
    <x v="0"/>
    <n v="203604"/>
    <x v="5"/>
    <n v="921"/>
    <x v="12"/>
    <n v="921"/>
    <n v="460.5"/>
    <n v="460.5"/>
    <n v="50"/>
    <n v="460.5"/>
  </r>
  <r>
    <x v="4"/>
    <n v="887151"/>
    <x v="4"/>
    <n v="293"/>
    <x v="15"/>
    <n v="879"/>
    <n v="366.25"/>
    <n v="512.75"/>
    <n v="58.33"/>
    <n v="512.75"/>
  </r>
  <r>
    <x v="4"/>
    <n v="893967"/>
    <x v="3"/>
    <n v="214"/>
    <x v="3"/>
    <n v="856"/>
    <n v="321"/>
    <n v="535"/>
    <n v="62.5"/>
    <n v="535"/>
  </r>
  <r>
    <x v="0"/>
    <n v="528145"/>
    <x v="4"/>
    <n v="280"/>
    <x v="15"/>
    <n v="840"/>
    <n v="350"/>
    <n v="490"/>
    <n v="58.33"/>
    <n v="490"/>
  </r>
  <r>
    <x v="2"/>
    <n v="340032"/>
    <x v="4"/>
    <n v="269"/>
    <x v="3"/>
    <n v="807"/>
    <n v="336.25"/>
    <n v="470.75"/>
    <n v="58.33"/>
    <n v="470.75"/>
  </r>
  <r>
    <x v="4"/>
    <n v="199727"/>
    <x v="4"/>
    <n v="267"/>
    <x v="3"/>
    <n v="801"/>
    <n v="333.75"/>
    <n v="467.25"/>
    <n v="58.33"/>
    <n v="467.25"/>
  </r>
  <r>
    <x v="1"/>
    <n v="454417"/>
    <x v="4"/>
    <n v="266"/>
    <x v="14"/>
    <n v="798"/>
    <n v="332.5"/>
    <n v="465.5"/>
    <n v="58.33"/>
    <n v="465.5"/>
  </r>
  <r>
    <x v="2"/>
    <n v="735280"/>
    <x v="4"/>
    <n v="263"/>
    <x v="12"/>
    <n v="789"/>
    <n v="328.75"/>
    <n v="460.25"/>
    <n v="58.33"/>
    <n v="460.25"/>
  </r>
  <r>
    <x v="1"/>
    <n v="121208"/>
    <x v="5"/>
    <n v="766"/>
    <x v="0"/>
    <n v="766"/>
    <n v="383"/>
    <n v="383"/>
    <n v="50"/>
    <n v="383"/>
  </r>
  <r>
    <x v="2"/>
    <n v="594945"/>
    <x v="5"/>
    <n v="720"/>
    <x v="8"/>
    <n v="720"/>
    <n v="360"/>
    <n v="360"/>
    <n v="50"/>
    <n v="360"/>
  </r>
  <r>
    <x v="1"/>
    <n v="711452"/>
    <x v="5"/>
    <n v="711"/>
    <x v="15"/>
    <n v="711"/>
    <n v="355.5"/>
    <n v="355.5"/>
    <n v="50"/>
    <n v="355.5"/>
  </r>
  <r>
    <x v="1"/>
    <n v="123331"/>
    <x v="5"/>
    <n v="708"/>
    <x v="4"/>
    <n v="708"/>
    <n v="354"/>
    <n v="354"/>
    <n v="50"/>
    <n v="354"/>
  </r>
  <r>
    <x v="0"/>
    <n v="676869"/>
    <x v="5"/>
    <n v="690"/>
    <x v="10"/>
    <n v="690"/>
    <n v="345"/>
    <n v="345"/>
    <n v="50"/>
    <n v="345"/>
  </r>
  <r>
    <x v="0"/>
    <n v="517456"/>
    <x v="5"/>
    <n v="677"/>
    <x v="12"/>
    <n v="677"/>
    <n v="338.5"/>
    <n v="338.5"/>
    <n v="50"/>
    <n v="338.5"/>
  </r>
  <r>
    <x v="1"/>
    <n v="625570"/>
    <x v="5"/>
    <n v="663"/>
    <x v="3"/>
    <n v="663"/>
    <n v="331.5"/>
    <n v="331.5"/>
    <n v="50"/>
    <n v="331.5"/>
  </r>
  <r>
    <x v="2"/>
    <n v="219898"/>
    <x v="5"/>
    <n v="645"/>
    <x v="2"/>
    <n v="645"/>
    <n v="322.5"/>
    <n v="322.5"/>
    <n v="50"/>
    <n v="322.5"/>
  </r>
  <r>
    <x v="1"/>
    <n v="827058"/>
    <x v="4"/>
    <n v="214"/>
    <x v="3"/>
    <n v="642"/>
    <n v="267.5"/>
    <n v="374.5"/>
    <n v="58.33"/>
    <n v="374.5"/>
  </r>
  <r>
    <x v="0"/>
    <n v="227728"/>
    <x v="5"/>
    <n v="615"/>
    <x v="15"/>
    <n v="615"/>
    <n v="307.5"/>
    <n v="307.5"/>
    <n v="50"/>
    <n v="307.5"/>
  </r>
  <r>
    <x v="1"/>
    <n v="280321"/>
    <x v="5"/>
    <n v="604"/>
    <x v="4"/>
    <n v="604"/>
    <n v="302"/>
    <n v="302"/>
    <n v="50"/>
    <n v="302"/>
  </r>
  <r>
    <x v="3"/>
    <n v="894001"/>
    <x v="5"/>
    <n v="546"/>
    <x v="5"/>
    <n v="546"/>
    <n v="273"/>
    <n v="273"/>
    <n v="50"/>
    <n v="273"/>
  </r>
  <r>
    <x v="3"/>
    <n v="154432"/>
    <x v="5"/>
    <n v="544"/>
    <x v="13"/>
    <n v="544"/>
    <n v="272"/>
    <n v="272"/>
    <n v="50"/>
    <n v="272"/>
  </r>
  <r>
    <x v="1"/>
    <n v="119754"/>
    <x v="5"/>
    <n v="488"/>
    <x v="9"/>
    <n v="488"/>
    <n v="244"/>
    <n v="244"/>
    <n v="50"/>
    <n v="244"/>
  </r>
  <r>
    <x v="3"/>
    <n v="397049"/>
    <x v="5"/>
    <n v="388"/>
    <x v="13"/>
    <n v="388"/>
    <n v="194"/>
    <n v="194"/>
    <n v="50"/>
    <n v="194"/>
  </r>
  <r>
    <x v="1"/>
    <n v="439030"/>
    <x v="5"/>
    <n v="345"/>
    <x v="3"/>
    <n v="345"/>
    <n v="172.5"/>
    <n v="172.5"/>
    <n v="50"/>
    <n v="172.5"/>
  </r>
  <r>
    <x v="1"/>
    <n v="254540"/>
    <x v="5"/>
    <n v="334"/>
    <x v="14"/>
    <n v="334"/>
    <n v="167"/>
    <n v="167"/>
    <n v="50"/>
    <n v="167"/>
  </r>
  <r>
    <x v="3"/>
    <n v="503591"/>
    <x v="5"/>
    <n v="322"/>
    <x v="8"/>
    <n v="322"/>
    <n v="161"/>
    <n v="161"/>
    <n v="50"/>
    <n v="161"/>
  </r>
  <r>
    <x v="2"/>
    <n v="715966"/>
    <x v="5"/>
    <n v="293"/>
    <x v="9"/>
    <n v="293"/>
    <n v="146.5"/>
    <n v="146.5"/>
    <n v="50"/>
    <n v="146.5"/>
  </r>
  <r>
    <x v="3"/>
    <n v="205221"/>
    <x v="5"/>
    <n v="200"/>
    <x v="7"/>
    <n v="200"/>
    <n v="100"/>
    <n v="100"/>
    <n v="50"/>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FE7C1A-F601-4184-87A5-4461733D005C}" name="P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3">
    <pivotField showAll="0"/>
    <pivotField showAll="0"/>
    <pivotField showAll="0"/>
    <pivotField showAll="0"/>
    <pivotField numFmtId="14" showAll="0">
      <items count="17">
        <item x="8"/>
        <item x="3"/>
        <item x="11"/>
        <item x="14"/>
        <item x="0"/>
        <item x="9"/>
        <item x="12"/>
        <item x="1"/>
        <item x="7"/>
        <item x="4"/>
        <item x="2"/>
        <item x="6"/>
        <item x="13"/>
        <item x="5"/>
        <item x="10"/>
        <item x="15"/>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Profit Margin" fld="8"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A20B97-DA0E-4F2D-8528-78E32940969C}" name="PT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E6:AF13" firstHeaderRow="1" firstDataRow="1" firstDataCol="1"/>
  <pivotFields count="13">
    <pivotField showAll="0"/>
    <pivotField showAll="0"/>
    <pivotField axis="axisRow" showAll="0">
      <items count="7">
        <item x="1"/>
        <item x="5"/>
        <item x="2"/>
        <item x="3"/>
        <item x="4"/>
        <item x="0"/>
        <item t="default"/>
      </items>
    </pivotField>
    <pivotField showAll="0"/>
    <pivotField numFmtId="14" showAll="0">
      <items count="17">
        <item x="8"/>
        <item x="3"/>
        <item x="11"/>
        <item x="14"/>
        <item x="0"/>
        <item x="9"/>
        <item x="12"/>
        <item x="1"/>
        <item x="7"/>
        <item x="4"/>
        <item x="2"/>
        <item x="6"/>
        <item x="13"/>
        <item x="5"/>
        <item x="10"/>
        <item x="15"/>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Estimated Profit" fld="7" baseField="0" baseItem="0" numFmtId="44"/>
  </dataFields>
  <formats count="8">
    <format dxfId="8">
      <pivotArea outline="0" collapsedLevelsAreSubtotals="1" fieldPosition="0"/>
    </format>
    <format dxfId="7">
      <pivotArea type="all" dataOnly="0" outline="0" fieldPosition="0"/>
    </format>
    <format dxfId="6">
      <pivotArea outline="0" collapsedLevelsAreSubtotals="1" fieldPosition="0"/>
    </format>
    <format dxfId="5">
      <pivotArea field="2" type="button" dataOnly="0" labelOnly="1" outline="0" axis="axisRow" fieldPosition="0"/>
    </format>
    <format dxfId="4">
      <pivotArea dataOnly="0" labelOnly="1" fieldPosition="0">
        <references count="1">
          <reference field="2" count="0"/>
        </references>
      </pivotArea>
    </format>
    <format dxfId="3">
      <pivotArea dataOnly="0" labelOnly="1" grandRow="1" outline="0" fieldPosition="0"/>
    </format>
    <format dxfId="2">
      <pivotArea dataOnly="0" labelOnly="1" outline="0" axis="axisValues" fieldPosition="0"/>
    </format>
    <format dxfId="1">
      <pivotArea outline="0" collapsedLevelsAreSubtotals="1" fieldPosition="0"/>
    </format>
  </format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0"/>
          </reference>
          <reference field="2" count="1" selected="0">
            <x v="3"/>
          </reference>
        </references>
      </pivotArea>
    </chartFormat>
    <chartFormat chart="6" format="13">
      <pivotArea type="data" outline="0" fieldPosition="0">
        <references count="2">
          <reference field="4294967294" count="1" selected="0">
            <x v="0"/>
          </reference>
          <reference field="2" count="1" selected="0">
            <x v="4"/>
          </reference>
        </references>
      </pivotArea>
    </chartFormat>
    <chartFormat chart="6"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D47DC5-3260-4E0E-A836-5131609BC136}" name="PT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F7" firstHeaderRow="0" firstDataRow="1" firstDataCol="0"/>
  <pivotFields count="13">
    <pivotField showAll="0"/>
    <pivotField dataField="1" showAll="0"/>
    <pivotField showAll="0">
      <items count="7">
        <item x="1"/>
        <item x="5"/>
        <item x="2"/>
        <item x="3"/>
        <item x="4"/>
        <item x="0"/>
        <item t="default"/>
      </items>
    </pivotField>
    <pivotField dataField="1" showAll="0"/>
    <pivotField numFmtId="14" showAll="0">
      <items count="17">
        <item x="8"/>
        <item x="3"/>
        <item x="11"/>
        <item x="14"/>
        <item x="0"/>
        <item x="9"/>
        <item x="12"/>
        <item x="1"/>
        <item x="7"/>
        <item x="4"/>
        <item x="2"/>
        <item x="6"/>
        <item x="13"/>
        <item x="5"/>
        <item x="10"/>
        <item x="1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Units Sold" fld="3" baseField="0" baseItem="0"/>
    <dataField name="Count of Order_ID" fld="1" subtotal="count" baseField="0" baseItem="1"/>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F173BE-F3C1-491C-A80D-F635BEA6F2E3}" name="PT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6:J8" firstHeaderRow="1" firstDataRow="1" firstDataCol="1"/>
  <pivotFields count="13">
    <pivotField showAll="0"/>
    <pivotField showAll="0"/>
    <pivotField axis="axisRow" showAll="0" measureFilter="1">
      <items count="7">
        <item x="1"/>
        <item x="5"/>
        <item x="2"/>
        <item x="3"/>
        <item x="4"/>
        <item x="0"/>
        <item t="default"/>
      </items>
    </pivotField>
    <pivotField dataField="1" showAll="0"/>
    <pivotField numFmtId="14" showAll="0">
      <items count="17">
        <item x="8"/>
        <item x="3"/>
        <item x="11"/>
        <item x="14"/>
        <item x="0"/>
        <item x="9"/>
        <item x="12"/>
        <item x="1"/>
        <item x="7"/>
        <item x="4"/>
        <item x="2"/>
        <item x="6"/>
        <item x="13"/>
        <item x="5"/>
        <item x="10"/>
        <item x="1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2">
    <i>
      <x/>
    </i>
    <i t="grand">
      <x/>
    </i>
  </rowItems>
  <colItems count="1">
    <i/>
  </colItems>
  <dataFields count="1">
    <dataField name="Sum of Units Sold" fld="3" baseField="0" baseItem="0"/>
  </dataFields>
  <formats count="1">
    <format dxfId="10">
      <pivotArea outline="0" collapsedLevelsAreSubtotals="1" fieldPosition="0"/>
    </format>
  </formats>
  <pivotTableStyleInfo name="PivotStyleLight16" showRowHeaders="1" showColHeaders="1" showRowStripes="0" showColStripes="0" showLastColumn="1"/>
  <filters count="1">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4ED18D-9BF8-4A68-B262-1C51663066A2}" name="PT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U6:W13" firstHeaderRow="0" firstDataRow="1" firstDataCol="1"/>
  <pivotFields count="13">
    <pivotField showAll="0"/>
    <pivotField showAll="0"/>
    <pivotField axis="axisRow" showAll="0">
      <items count="7">
        <item x="1"/>
        <item x="5"/>
        <item x="2"/>
        <item x="3"/>
        <item x="4"/>
        <item x="0"/>
        <item t="default"/>
      </items>
    </pivotField>
    <pivotField showAll="0"/>
    <pivotField numFmtId="14" showAll="0">
      <items count="17">
        <item x="8"/>
        <item x="3"/>
        <item x="11"/>
        <item x="14"/>
        <item x="0"/>
        <item x="9"/>
        <item x="12"/>
        <item x="1"/>
        <item x="7"/>
        <item x="4"/>
        <item x="2"/>
        <item x="6"/>
        <item x="13"/>
        <item x="5"/>
        <item x="10"/>
        <item x="15"/>
        <item t="default"/>
      </items>
    </pivotField>
    <pivotField dataFiel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Revenue" fld="5" subtotal="average" baseField="2" baseItem="0"/>
    <dataField name="Profit" fld="7" subtotal="average" baseField="2" baseItem="0"/>
  </dataFields>
  <formats count="7">
    <format dxfId="17">
      <pivotArea outline="0" collapsedLevelsAreSubtotals="1" fieldPosition="0"/>
    </format>
    <format dxfId="16">
      <pivotArea type="all" dataOnly="0" outline="0" fieldPosition="0"/>
    </format>
    <format dxfId="15">
      <pivotArea outline="0" collapsedLevelsAreSubtotals="1"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s>
  <chartFormats count="2">
    <chartFormat chart="53" format="4"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C6527B-8004-4EF4-91ED-2AAB1E5AFA8F}" name="PT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B6:AC12" firstHeaderRow="1" firstDataRow="1" firstDataCol="1"/>
  <pivotFields count="13">
    <pivotField axis="axisRow" showAll="0">
      <items count="6">
        <item x="4"/>
        <item x="3"/>
        <item x="0"/>
        <item x="2"/>
        <item x="1"/>
        <item t="default"/>
      </items>
    </pivotField>
    <pivotField showAll="0"/>
    <pivotField showAll="0">
      <items count="7">
        <item x="1"/>
        <item x="5"/>
        <item x="2"/>
        <item x="3"/>
        <item x="4"/>
        <item x="0"/>
        <item t="default"/>
      </items>
    </pivotField>
    <pivotField showAll="0"/>
    <pivotField numFmtId="14" showAll="0">
      <items count="17">
        <item x="8"/>
        <item x="3"/>
        <item x="11"/>
        <item x="14"/>
        <item x="0"/>
        <item x="9"/>
        <item x="12"/>
        <item x="1"/>
        <item x="7"/>
        <item x="4"/>
        <item x="2"/>
        <item x="6"/>
        <item x="13"/>
        <item x="5"/>
        <item x="10"/>
        <item x="15"/>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Average of Profit Margin" fld="8" subtotal="average" baseField="2" baseItem="0" numFmtId="2"/>
  </dataFields>
  <formats count="8">
    <format dxfId="25">
      <pivotArea outline="0" fieldPosition="0">
        <references count="1">
          <reference field="4294967294" count="1">
            <x v="0"/>
          </reference>
        </references>
      </pivotArea>
    </format>
    <format dxfId="24">
      <pivotArea outline="0" collapsedLevelsAreSubtotals="1" fieldPosition="0"/>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7">
    <chartFormat chart="4"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 chart="18" format="38">
      <pivotArea type="data" outline="0" fieldPosition="0">
        <references count="2">
          <reference field="4294967294" count="1" selected="0">
            <x v="0"/>
          </reference>
          <reference field="0" count="1" selected="0">
            <x v="0"/>
          </reference>
        </references>
      </pivotArea>
    </chartFormat>
    <chartFormat chart="18" format="39">
      <pivotArea type="data" outline="0" fieldPosition="0">
        <references count="2">
          <reference field="4294967294" count="1" selected="0">
            <x v="0"/>
          </reference>
          <reference field="0" count="1" selected="0">
            <x v="1"/>
          </reference>
        </references>
      </pivotArea>
    </chartFormat>
    <chartFormat chart="18" format="40">
      <pivotArea type="data" outline="0" fieldPosition="0">
        <references count="2">
          <reference field="4294967294" count="1" selected="0">
            <x v="0"/>
          </reference>
          <reference field="0" count="1" selected="0">
            <x v="2"/>
          </reference>
        </references>
      </pivotArea>
    </chartFormat>
    <chartFormat chart="18" format="41">
      <pivotArea type="data" outline="0" fieldPosition="0">
        <references count="2">
          <reference field="4294967294" count="1" selected="0">
            <x v="0"/>
          </reference>
          <reference field="0" count="1" selected="0">
            <x v="3"/>
          </reference>
        </references>
      </pivotArea>
    </chartFormat>
    <chartFormat chart="18" format="4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39A23E-7124-4D1E-B675-BD90F55B17FD}" name="PT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Y6:Z13" firstHeaderRow="1" firstDataRow="1" firstDataCol="1"/>
  <pivotFields count="13">
    <pivotField showAll="0"/>
    <pivotField showAll="0"/>
    <pivotField axis="axisRow" showAll="0">
      <items count="7">
        <item x="1"/>
        <item x="5"/>
        <item x="2"/>
        <item x="3"/>
        <item x="4"/>
        <item x="0"/>
        <item t="default"/>
      </items>
    </pivotField>
    <pivotField dataField="1" showAll="0"/>
    <pivotField numFmtId="14" showAll="0">
      <items count="17">
        <item x="8"/>
        <item x="3"/>
        <item x="11"/>
        <item x="14"/>
        <item x="0"/>
        <item x="9"/>
        <item x="12"/>
        <item x="1"/>
        <item x="7"/>
        <item x="4"/>
        <item x="2"/>
        <item x="6"/>
        <item x="13"/>
        <item x="5"/>
        <item x="10"/>
        <item x="1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Units Sold" fld="3" baseField="0" baseItem="0" numFmtId="165"/>
  </dataFields>
  <formats count="7">
    <format dxfId="32">
      <pivotArea outline="0" collapsedLevelsAreSubtotals="1" fieldPosition="0"/>
    </format>
    <format dxfId="31">
      <pivotArea type="all" dataOnly="0" outline="0" fieldPosition="0"/>
    </format>
    <format dxfId="30">
      <pivotArea outline="0" collapsedLevelsAreSubtotals="1" fieldPosition="0"/>
    </format>
    <format dxfId="29">
      <pivotArea field="2" type="button" dataOnly="0" labelOnly="1" outline="0" axis="axisRow" fieldPosition="0"/>
    </format>
    <format dxfId="28">
      <pivotArea dataOnly="0" labelOnly="1" fieldPosition="0">
        <references count="1">
          <reference field="2" count="0"/>
        </references>
      </pivotArea>
    </format>
    <format dxfId="27">
      <pivotArea dataOnly="0" labelOnly="1" grandRow="1" outline="0"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081A17-5A57-46F1-884E-8BD8B61BD4B3}" name="PT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N7" firstHeaderRow="1" firstDataRow="1" firstDataCol="0"/>
  <pivotFields count="13">
    <pivotField showAll="0"/>
    <pivotField showAll="0"/>
    <pivotField showAll="0">
      <items count="7">
        <item x="1"/>
        <item x="5"/>
        <item x="2"/>
        <item x="3"/>
        <item x="4"/>
        <item x="0"/>
        <item t="default"/>
      </items>
    </pivotField>
    <pivotField dataField="1" showAll="0"/>
    <pivotField numFmtId="14" showAll="0">
      <items count="17">
        <item x="8"/>
        <item x="3"/>
        <item x="11"/>
        <item x="14"/>
        <item x="0"/>
        <item x="9"/>
        <item x="12"/>
        <item x="1"/>
        <item x="7"/>
        <item x="4"/>
        <item x="2"/>
        <item x="6"/>
        <item x="13"/>
        <item x="5"/>
        <item x="10"/>
        <item x="15"/>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Units Sold" fld="3" baseField="0" baseItem="0" numFmtId="1"/>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435530-4433-4B46-8714-CB24C6647925}" name="PT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6:Q7" firstHeaderRow="0" firstDataRow="1" firstDataCol="0"/>
  <pivotFields count="13">
    <pivotField showAll="0"/>
    <pivotField dataField="1" showAll="0"/>
    <pivotField showAll="0">
      <items count="7">
        <item x="1"/>
        <item x="5"/>
        <item x="2"/>
        <item x="3"/>
        <item x="4"/>
        <item x="0"/>
        <item t="default"/>
      </items>
    </pivotField>
    <pivotField showAll="0"/>
    <pivotField numFmtId="14" showAll="0">
      <items count="17">
        <item x="8"/>
        <item x="3"/>
        <item x="11"/>
        <item x="14"/>
        <item x="0"/>
        <item x="9"/>
        <item x="12"/>
        <item x="1"/>
        <item x="7"/>
        <item x="4"/>
        <item x="2"/>
        <item x="6"/>
        <item x="13"/>
        <item x="5"/>
        <item x="10"/>
        <item x="15"/>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Estimated Profit" fld="7" baseField="0" baseItem="0"/>
    <dataField name="Count of Order_ID" fld="1" subtotal="count" baseField="0" baseItem="1"/>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2FB5C1-9C2C-4CF2-9003-AB799EFF1CA4}" name="PT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6:L7" firstHeaderRow="1" firstDataRow="1" firstDataCol="0"/>
  <pivotFields count="13">
    <pivotField showAll="0"/>
    <pivotField showAll="0"/>
    <pivotField showAll="0">
      <items count="7">
        <item x="1"/>
        <item x="5"/>
        <item x="2"/>
        <item x="3"/>
        <item x="4"/>
        <item x="0"/>
        <item t="default"/>
      </items>
    </pivotField>
    <pivotField showAll="0"/>
    <pivotField numFmtId="14" showAll="0">
      <items count="17">
        <item x="8"/>
        <item x="3"/>
        <item x="11"/>
        <item x="14"/>
        <item x="0"/>
        <item x="9"/>
        <item x="12"/>
        <item x="1"/>
        <item x="7"/>
        <item x="4"/>
        <item x="2"/>
        <item x="6"/>
        <item x="13"/>
        <item x="5"/>
        <item x="10"/>
        <item x="15"/>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Estimated Profit" fld="7" baseField="0" baseItem="0" numFmtId="165"/>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17A891-4271-4B45-A5B0-EC3978A8D92F}" name="PT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H6:AJ12" firstHeaderRow="0" firstDataRow="1" firstDataCol="1"/>
  <pivotFields count="13">
    <pivotField axis="axisRow" showAll="0">
      <items count="6">
        <item x="4"/>
        <item x="3"/>
        <item x="0"/>
        <item x="2"/>
        <item x="1"/>
        <item t="default"/>
      </items>
    </pivotField>
    <pivotField showAll="0"/>
    <pivotField showAll="0"/>
    <pivotField dataField="1" showAll="0"/>
    <pivotField numFmtId="14" showAll="0">
      <items count="17">
        <item x="8"/>
        <item x="3"/>
        <item x="11"/>
        <item x="14"/>
        <item x="0"/>
        <item x="9"/>
        <item x="12"/>
        <item x="1"/>
        <item x="7"/>
        <item x="4"/>
        <item x="2"/>
        <item x="6"/>
        <item x="13"/>
        <item x="5"/>
        <item x="10"/>
        <item x="15"/>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Fields count="1">
    <field x="-2"/>
  </colFields>
  <colItems count="2">
    <i>
      <x/>
    </i>
    <i i="1">
      <x v="1"/>
    </i>
  </colItems>
  <dataFields count="2">
    <dataField name="Units Sold by Retailers" fld="3" baseField="0" baseItem="0" numFmtId="1"/>
    <dataField name="Profit by Retailers" fld="7" baseField="0" baseItem="0" numFmtId="165"/>
  </dataFields>
  <formats count="8">
    <format dxfId="43">
      <pivotArea outline="0" collapsedLevelsAreSubtotals="1" fieldPosition="0"/>
    </format>
    <format dxfId="42">
      <pivotArea outline="0" collapsedLevelsAreSubtotals="1" fieldPosition="0">
        <references count="1">
          <reference field="4294967294" count="1" selected="0">
            <x v="1"/>
          </reference>
        </references>
      </pivotArea>
    </format>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fieldPosition="0">
        <references count="1">
          <reference field="4294967294" count="2">
            <x v="0"/>
            <x v="1"/>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1BB79DB9-18D8-4EC6-935E-84075ACB0748}" sourceName="Years (Date)">
  <pivotTables>
    <pivotTable tabId="6" name="PT1"/>
    <pivotTable tabId="6" name="PT10"/>
    <pivotTable tabId="6" name="PT11"/>
    <pivotTable tabId="6" name="PT2"/>
    <pivotTable tabId="6" name="PT3"/>
    <pivotTable tabId="6" name="PT4"/>
    <pivotTable tabId="6" name="PT5"/>
    <pivotTable tabId="6" name="PT6"/>
    <pivotTable tabId="6" name="PT7"/>
    <pivotTable tabId="6" name="PT8"/>
    <pivotTable tabId="6" name="PT9"/>
  </pivotTables>
  <data>
    <tabular pivotCacheId="2071773332">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3E7FF6C-7062-4F6B-BD2C-D144C7AFCCBA}" sourceName="Months (Date)">
  <pivotTables>
    <pivotTable tabId="6" name="PT1"/>
    <pivotTable tabId="6" name="PT10"/>
    <pivotTable tabId="6" name="PT11"/>
    <pivotTable tabId="6" name="PT2"/>
    <pivotTable tabId="6" name="PT3"/>
    <pivotTable tabId="6" name="PT4"/>
    <pivotTable tabId="6" name="PT5"/>
    <pivotTable tabId="6" name="PT6"/>
    <pivotTable tabId="6" name="PT7"/>
    <pivotTable tabId="6" name="PT8"/>
    <pivotTable tabId="6" name="PT9"/>
  </pivotTables>
  <data>
    <tabular pivotCacheId="207177333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485415F6-F31D-478C-A78D-ABADDBBC4390}" cache="Slicer_Years__Date" caption="Years" columnCount="2" style="Slicer Style 1" rowHeight="241300"/>
  <slicer name="Months (Date)" xr10:uid="{C5D48972-F3F3-4807-BBBC-38F1B47B3008}" cache="Slicer_Months__Date" caption="Months"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004374-4917-4B15-B80C-A72D11C8D611}" name="Table1" displayName="Table1" ref="A1:H701" totalsRowShown="0" headerRowDxfId="47">
  <autoFilter ref="A1:H701" xr:uid="{408D04A8-68F4-4A27-B936-F8A7BC3FF933}"/>
  <tableColumns count="8">
    <tableColumn id="1" xr3:uid="{B0842E98-DC29-4715-8E34-CC668E04629C}" name="Retailers_ID"/>
    <tableColumn id="2" xr3:uid="{889FAC24-3B22-4141-91D7-926ADF093B13}" name="Order_ID"/>
    <tableColumn id="3" xr3:uid="{4DC6C8B0-3E3A-4CCD-9EB7-B3A1B98ACACE}" name="Product Name"/>
    <tableColumn id="9" xr3:uid="{22B7E4DB-1E38-4E18-9967-1636B6F254AE}" name="Units Sold" dataDxfId="46"/>
    <tableColumn id="5" xr3:uid="{9C68ED44-1284-4C3E-A58A-ED13BD5DDD6D}" name="Date" dataDxfId="45"/>
    <tableColumn id="6" xr3:uid="{A284C3E0-53EC-4BB1-805D-5542A999F703}" name="Estimated Revenue" dataCellStyle="Currency"/>
    <tableColumn id="7" xr3:uid="{94243B17-4D9D-4F65-845B-C25CDE972AE7}" name="Estimated Cost Price" dataCellStyle="Currency"/>
    <tableColumn id="12" xr3:uid="{5ED65512-1A68-47BB-ABA4-9E9BB091D47C}" name="Profit Margin" dataDxfId="44"/>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F3AE2-1A64-4C13-8495-F3DFC04895E1}">
  <dimension ref="I4:J16"/>
  <sheetViews>
    <sheetView showGridLines="0" showRowColHeaders="0" tabSelected="1" zoomScale="82" workbookViewId="0">
      <selection activeCell="N9" sqref="N9"/>
    </sheetView>
  </sheetViews>
  <sheetFormatPr defaultRowHeight="15" x14ac:dyDescent="0.25"/>
  <cols>
    <col min="5" max="5" width="9.140625" customWidth="1"/>
    <col min="6" max="6" width="8.28515625" customWidth="1"/>
    <col min="7" max="7" width="12.7109375" customWidth="1"/>
    <col min="8" max="8" width="9.7109375" customWidth="1"/>
    <col min="9" max="9" width="21.140625" customWidth="1"/>
    <col min="10" max="10" width="49.5703125" bestFit="1" customWidth="1"/>
  </cols>
  <sheetData>
    <row r="4" spans="9:10" ht="23.25" customHeight="1" x14ac:dyDescent="0.25"/>
    <row r="6" spans="9:10" ht="15.75" thickBot="1" x14ac:dyDescent="0.3"/>
    <row r="7" spans="9:10" ht="22.5" customHeight="1" x14ac:dyDescent="0.25">
      <c r="I7" s="46" t="s">
        <v>37</v>
      </c>
      <c r="J7" s="47"/>
    </row>
    <row r="8" spans="9:10" ht="22.5" customHeight="1" thickBot="1" x14ac:dyDescent="0.3">
      <c r="I8" s="48"/>
      <c r="J8" s="49"/>
    </row>
    <row r="9" spans="9:10" ht="23.25" customHeight="1" x14ac:dyDescent="0.25">
      <c r="I9" s="42" t="s">
        <v>28</v>
      </c>
      <c r="J9" s="44" t="s">
        <v>29</v>
      </c>
    </row>
    <row r="10" spans="9:10" ht="23.25" customHeight="1" thickBot="1" x14ac:dyDescent="0.3">
      <c r="I10" s="43"/>
      <c r="J10" s="45"/>
    </row>
    <row r="11" spans="9:10" ht="23.25" customHeight="1" thickBot="1" x14ac:dyDescent="0.3">
      <c r="I11" s="30" t="s">
        <v>30</v>
      </c>
      <c r="J11" s="31" t="s">
        <v>34</v>
      </c>
    </row>
    <row r="12" spans="9:10" ht="20.25" thickBot="1" x14ac:dyDescent="0.3">
      <c r="I12" s="30" t="s">
        <v>31</v>
      </c>
      <c r="J12" s="32" t="s">
        <v>42</v>
      </c>
    </row>
    <row r="13" spans="9:10" ht="20.25" thickBot="1" x14ac:dyDescent="0.3">
      <c r="I13" s="30" t="s">
        <v>32</v>
      </c>
      <c r="J13" s="32" t="s">
        <v>58</v>
      </c>
    </row>
    <row r="14" spans="9:10" ht="20.25" thickBot="1" x14ac:dyDescent="0.3">
      <c r="I14" s="30" t="s">
        <v>33</v>
      </c>
      <c r="J14" s="32" t="s">
        <v>43</v>
      </c>
    </row>
    <row r="15" spans="9:10" ht="20.25" thickBot="1" x14ac:dyDescent="0.3">
      <c r="I15" s="30" t="s">
        <v>36</v>
      </c>
      <c r="J15" s="33" t="s">
        <v>44</v>
      </c>
    </row>
    <row r="16" spans="9:10" ht="20.25" thickBot="1" x14ac:dyDescent="0.3">
      <c r="I16" s="30" t="s">
        <v>45</v>
      </c>
      <c r="J16" s="34" t="s">
        <v>35</v>
      </c>
    </row>
  </sheetData>
  <mergeCells count="3">
    <mergeCell ref="I9:I10"/>
    <mergeCell ref="J9:J10"/>
    <mergeCell ref="I7:J8"/>
  </mergeCells>
  <phoneticPr fontId="1" type="noConversion"/>
  <hyperlinks>
    <hyperlink ref="J11" location="'V1'!A1" display="Raw Data" xr:uid="{0A7B9B05-6B8B-400E-9CEA-308DA9A46DB9}"/>
    <hyperlink ref="J12" location="'V2'!A1" display="Somewhat clean (Remove Blank Rows)" xr:uid="{86E4CA04-5F73-435F-8B95-0A514993DB18}"/>
    <hyperlink ref="J13" location="'V3'!A1" display="Unique Retailers &amp; Products" xr:uid="{CCCB0D60-F30D-4DFD-92F8-7F7BA2F786B0}"/>
    <hyperlink ref="J14" location="'V4'!A1" display="Final Clean" xr:uid="{17FDE688-EFB8-408B-B487-82740146DF06}"/>
    <hyperlink ref="J15" location="'V5'!A1" display="Pivots Table" xr:uid="{59EBF6B8-EBA7-44DD-81F1-221182462F3C}"/>
    <hyperlink ref="J16" location="'V6'!A1" display="Dashboard" xr:uid="{478BABBD-AA6A-4D59-BBF6-5572FC651E9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BBD90-9942-46E9-800E-B83617B67050}">
  <dimension ref="A1:G707"/>
  <sheetViews>
    <sheetView zoomScaleNormal="100" workbookViewId="0">
      <selection activeCell="M3" sqref="M3"/>
    </sheetView>
  </sheetViews>
  <sheetFormatPr defaultRowHeight="15" x14ac:dyDescent="0.25"/>
  <cols>
    <col min="1" max="1" width="11.85546875" bestFit="1" customWidth="1"/>
    <col min="3" max="3" width="30.5703125" bestFit="1" customWidth="1"/>
    <col min="6" max="6" width="17.140625" bestFit="1" customWidth="1"/>
    <col min="7" max="7" width="13.5703125" bestFit="1" customWidth="1"/>
  </cols>
  <sheetData>
    <row r="1" spans="1:7" x14ac:dyDescent="0.25">
      <c r="A1" s="12" t="s">
        <v>27</v>
      </c>
      <c r="B1" s="12" t="s">
        <v>10</v>
      </c>
      <c r="C1" s="12" t="s">
        <v>9</v>
      </c>
      <c r="D1" s="12" t="s">
        <v>8</v>
      </c>
      <c r="E1" s="12" t="s">
        <v>7</v>
      </c>
      <c r="F1" s="12" t="s">
        <v>6</v>
      </c>
      <c r="G1" s="12" t="s">
        <v>26</v>
      </c>
    </row>
    <row r="2" spans="1:7" x14ac:dyDescent="0.25">
      <c r="A2">
        <v>3</v>
      </c>
      <c r="B2">
        <v>397386</v>
      </c>
      <c r="C2" t="s">
        <v>5</v>
      </c>
      <c r="D2">
        <v>3997.5</v>
      </c>
      <c r="E2">
        <v>43831</v>
      </c>
      <c r="F2">
        <v>23985</v>
      </c>
      <c r="G2">
        <v>10993.125</v>
      </c>
    </row>
    <row r="3" spans="1:7" x14ac:dyDescent="0.25">
      <c r="A3">
        <v>5</v>
      </c>
      <c r="B3">
        <v>613058</v>
      </c>
      <c r="C3" t="s">
        <v>5</v>
      </c>
      <c r="D3">
        <v>3864</v>
      </c>
      <c r="E3">
        <v>43922</v>
      </c>
      <c r="F3">
        <v>23184</v>
      </c>
      <c r="G3">
        <v>10626</v>
      </c>
    </row>
    <row r="4" spans="1:7" x14ac:dyDescent="0.25">
      <c r="A4">
        <v>4</v>
      </c>
      <c r="B4">
        <v>766402</v>
      </c>
      <c r="C4" t="s">
        <v>5</v>
      </c>
      <c r="D4">
        <v>3850.5</v>
      </c>
      <c r="E4">
        <v>43922</v>
      </c>
      <c r="F4">
        <v>23103</v>
      </c>
      <c r="G4">
        <v>10588.875</v>
      </c>
    </row>
    <row r="5" spans="1:7" x14ac:dyDescent="0.25">
      <c r="A5">
        <v>4</v>
      </c>
      <c r="B5">
        <v>710702</v>
      </c>
      <c r="C5" t="s">
        <v>5</v>
      </c>
      <c r="D5">
        <v>3793.5</v>
      </c>
      <c r="E5">
        <v>44013</v>
      </c>
      <c r="F5">
        <v>22761</v>
      </c>
      <c r="G5">
        <v>10432.125</v>
      </c>
    </row>
    <row r="6" spans="1:7" x14ac:dyDescent="0.25">
      <c r="A6">
        <v>5</v>
      </c>
      <c r="B6">
        <v>283378</v>
      </c>
      <c r="C6" t="s">
        <v>3</v>
      </c>
      <c r="D6">
        <v>4492.5</v>
      </c>
      <c r="E6">
        <v>43922</v>
      </c>
      <c r="F6">
        <v>22462.5</v>
      </c>
      <c r="G6">
        <v>8985</v>
      </c>
    </row>
    <row r="7" spans="1:7" x14ac:dyDescent="0.25">
      <c r="A7">
        <v>3</v>
      </c>
      <c r="B7">
        <v>239419</v>
      </c>
      <c r="C7" t="s">
        <v>3</v>
      </c>
      <c r="D7">
        <v>4251</v>
      </c>
      <c r="E7">
        <v>43831</v>
      </c>
      <c r="F7">
        <v>21255</v>
      </c>
      <c r="G7">
        <v>8502</v>
      </c>
    </row>
    <row r="8" spans="1:7" x14ac:dyDescent="0.25">
      <c r="A8">
        <v>4</v>
      </c>
      <c r="B8">
        <v>739483</v>
      </c>
      <c r="C8" t="s">
        <v>4</v>
      </c>
      <c r="D8">
        <v>4219.5</v>
      </c>
      <c r="E8">
        <v>43922</v>
      </c>
      <c r="F8">
        <v>21097.5</v>
      </c>
      <c r="G8">
        <v>9282.9000000000015</v>
      </c>
    </row>
    <row r="9" spans="1:7" x14ac:dyDescent="0.25">
      <c r="A9">
        <v>3</v>
      </c>
      <c r="B9">
        <v>253399</v>
      </c>
      <c r="C9" t="s">
        <v>3</v>
      </c>
      <c r="D9">
        <v>4026</v>
      </c>
      <c r="E9">
        <v>44013</v>
      </c>
      <c r="F9">
        <v>20130</v>
      </c>
      <c r="G9">
        <v>8052</v>
      </c>
    </row>
    <row r="10" spans="1:7" x14ac:dyDescent="0.25">
      <c r="A10">
        <v>4</v>
      </c>
      <c r="B10">
        <v>361305</v>
      </c>
      <c r="C10" t="s">
        <v>3</v>
      </c>
      <c r="D10">
        <v>3945</v>
      </c>
      <c r="E10">
        <v>43831</v>
      </c>
      <c r="F10">
        <v>19725</v>
      </c>
      <c r="G10">
        <v>7890</v>
      </c>
    </row>
    <row r="12" spans="1:7" x14ac:dyDescent="0.25">
      <c r="A12">
        <v>2</v>
      </c>
      <c r="B12">
        <v>603195</v>
      </c>
      <c r="C12" t="s">
        <v>3</v>
      </c>
      <c r="D12">
        <v>3801</v>
      </c>
      <c r="E12">
        <v>43922</v>
      </c>
      <c r="F12">
        <v>19005</v>
      </c>
      <c r="G12">
        <v>7602</v>
      </c>
    </row>
    <row r="13" spans="1:7" x14ac:dyDescent="0.25">
      <c r="A13">
        <v>2</v>
      </c>
      <c r="B13">
        <v>643111</v>
      </c>
      <c r="C13" t="s">
        <v>3</v>
      </c>
      <c r="D13">
        <v>3675</v>
      </c>
      <c r="E13">
        <v>43922</v>
      </c>
      <c r="F13">
        <v>18375</v>
      </c>
      <c r="G13">
        <v>7350</v>
      </c>
    </row>
    <row r="14" spans="1:7" x14ac:dyDescent="0.25">
      <c r="A14">
        <v>4</v>
      </c>
      <c r="B14">
        <v>861720</v>
      </c>
      <c r="C14" t="s">
        <v>5</v>
      </c>
      <c r="D14">
        <v>2966</v>
      </c>
      <c r="E14">
        <v>43739</v>
      </c>
      <c r="F14">
        <v>17796</v>
      </c>
      <c r="G14">
        <v>8156.5</v>
      </c>
    </row>
    <row r="15" spans="1:7" x14ac:dyDescent="0.25">
      <c r="A15">
        <v>3</v>
      </c>
      <c r="B15">
        <v>272552</v>
      </c>
      <c r="C15" t="s">
        <v>4</v>
      </c>
      <c r="D15">
        <v>3520.5</v>
      </c>
      <c r="E15">
        <v>43922</v>
      </c>
      <c r="F15">
        <v>17602.5</v>
      </c>
      <c r="G15">
        <v>7745.1</v>
      </c>
    </row>
    <row r="16" spans="1:7" x14ac:dyDescent="0.25">
      <c r="A16">
        <v>4</v>
      </c>
      <c r="B16">
        <v>459019</v>
      </c>
      <c r="C16" t="s">
        <v>3</v>
      </c>
      <c r="D16">
        <v>3513</v>
      </c>
      <c r="E16">
        <v>44013</v>
      </c>
      <c r="F16">
        <v>17565</v>
      </c>
      <c r="G16">
        <v>7026</v>
      </c>
    </row>
    <row r="18" spans="1:7" x14ac:dyDescent="0.25">
      <c r="A18">
        <v>2</v>
      </c>
      <c r="B18">
        <v>628402</v>
      </c>
      <c r="C18" t="s">
        <v>3</v>
      </c>
      <c r="D18">
        <v>3495</v>
      </c>
      <c r="E18">
        <v>43831</v>
      </c>
      <c r="F18">
        <v>17475</v>
      </c>
      <c r="G18">
        <v>6990</v>
      </c>
    </row>
    <row r="19" spans="1:7" x14ac:dyDescent="0.25">
      <c r="A19">
        <v>3</v>
      </c>
      <c r="B19">
        <v>567117</v>
      </c>
      <c r="C19" t="s">
        <v>5</v>
      </c>
      <c r="D19">
        <v>2907</v>
      </c>
      <c r="E19">
        <v>43983</v>
      </c>
      <c r="F19">
        <v>17442</v>
      </c>
      <c r="G19">
        <v>7994.25</v>
      </c>
    </row>
    <row r="20" spans="1:7" x14ac:dyDescent="0.25">
      <c r="A20">
        <v>2</v>
      </c>
      <c r="B20">
        <v>426268</v>
      </c>
      <c r="C20" t="s">
        <v>5</v>
      </c>
      <c r="D20">
        <v>2877</v>
      </c>
      <c r="E20">
        <v>44105</v>
      </c>
      <c r="F20">
        <v>17262</v>
      </c>
      <c r="G20">
        <v>7911.75</v>
      </c>
    </row>
    <row r="21" spans="1:7" x14ac:dyDescent="0.25">
      <c r="A21">
        <v>2</v>
      </c>
      <c r="B21">
        <v>824253</v>
      </c>
      <c r="C21" t="s">
        <v>3</v>
      </c>
      <c r="D21">
        <v>3450</v>
      </c>
      <c r="E21">
        <v>44013</v>
      </c>
      <c r="F21">
        <v>17250</v>
      </c>
      <c r="G21">
        <v>6900</v>
      </c>
    </row>
    <row r="22" spans="1:7" x14ac:dyDescent="0.25">
      <c r="A22">
        <v>5</v>
      </c>
      <c r="B22">
        <v>165918</v>
      </c>
      <c r="C22" t="s">
        <v>5</v>
      </c>
      <c r="D22">
        <v>2861</v>
      </c>
      <c r="E22">
        <v>43831</v>
      </c>
      <c r="F22">
        <v>17166</v>
      </c>
      <c r="G22">
        <v>7867.75</v>
      </c>
    </row>
    <row r="23" spans="1:7" x14ac:dyDescent="0.25">
      <c r="A23">
        <v>3</v>
      </c>
      <c r="B23">
        <v>261362</v>
      </c>
      <c r="C23" t="s">
        <v>4</v>
      </c>
      <c r="D23">
        <v>3421.5</v>
      </c>
      <c r="E23">
        <v>44013</v>
      </c>
      <c r="F23">
        <v>17107.5</v>
      </c>
      <c r="G23">
        <v>7527.3</v>
      </c>
    </row>
    <row r="24" spans="1:7" x14ac:dyDescent="0.25">
      <c r="A24">
        <v>5</v>
      </c>
      <c r="B24">
        <v>864063</v>
      </c>
      <c r="C24" t="s">
        <v>5</v>
      </c>
      <c r="D24">
        <v>2832</v>
      </c>
      <c r="E24">
        <v>44044</v>
      </c>
      <c r="F24">
        <v>16992</v>
      </c>
      <c r="G24">
        <v>7788</v>
      </c>
    </row>
    <row r="25" spans="1:7" x14ac:dyDescent="0.25">
      <c r="A25">
        <v>4</v>
      </c>
      <c r="B25">
        <v>765655</v>
      </c>
      <c r="C25" t="s">
        <v>2</v>
      </c>
      <c r="D25">
        <v>4243.5</v>
      </c>
      <c r="E25">
        <v>43922</v>
      </c>
      <c r="F25">
        <v>16974</v>
      </c>
      <c r="G25">
        <v>6365.25</v>
      </c>
    </row>
    <row r="26" spans="1:7" x14ac:dyDescent="0.25">
      <c r="A26">
        <v>3</v>
      </c>
      <c r="B26">
        <v>853295</v>
      </c>
      <c r="C26" t="s">
        <v>5</v>
      </c>
      <c r="D26">
        <v>2826</v>
      </c>
      <c r="E26">
        <v>43952</v>
      </c>
      <c r="F26">
        <v>16956</v>
      </c>
      <c r="G26">
        <v>7771.5</v>
      </c>
    </row>
    <row r="27" spans="1:7" x14ac:dyDescent="0.25">
      <c r="A27">
        <v>1</v>
      </c>
      <c r="B27">
        <v>685153</v>
      </c>
      <c r="C27" t="s">
        <v>5</v>
      </c>
      <c r="D27">
        <v>2821</v>
      </c>
      <c r="E27">
        <v>44044</v>
      </c>
      <c r="F27">
        <v>16926</v>
      </c>
      <c r="G27">
        <v>7757.75</v>
      </c>
    </row>
    <row r="28" spans="1:7" x14ac:dyDescent="0.25">
      <c r="A28">
        <v>1</v>
      </c>
      <c r="B28">
        <v>494115</v>
      </c>
      <c r="C28" t="s">
        <v>5</v>
      </c>
      <c r="D28">
        <v>2805</v>
      </c>
      <c r="E28">
        <v>43709</v>
      </c>
      <c r="F28">
        <v>16830</v>
      </c>
      <c r="G28">
        <v>7713.75</v>
      </c>
    </row>
    <row r="29" spans="1:7" x14ac:dyDescent="0.25">
      <c r="A29">
        <v>3</v>
      </c>
      <c r="B29">
        <v>218006</v>
      </c>
      <c r="C29" t="s">
        <v>5</v>
      </c>
      <c r="D29">
        <v>2755</v>
      </c>
      <c r="E29">
        <v>43862</v>
      </c>
      <c r="F29">
        <v>16530</v>
      </c>
      <c r="G29">
        <v>7576.25</v>
      </c>
    </row>
    <row r="30" spans="1:7" x14ac:dyDescent="0.25">
      <c r="A30">
        <v>2</v>
      </c>
      <c r="B30">
        <v>104326</v>
      </c>
      <c r="C30" t="s">
        <v>4</v>
      </c>
      <c r="D30">
        <v>3199.5</v>
      </c>
      <c r="E30">
        <v>44013</v>
      </c>
      <c r="F30">
        <v>15997.5</v>
      </c>
      <c r="G30">
        <v>7038.9000000000005</v>
      </c>
    </row>
    <row r="31" spans="1:7" x14ac:dyDescent="0.25">
      <c r="A31">
        <v>4</v>
      </c>
      <c r="B31">
        <v>632477</v>
      </c>
      <c r="C31" t="s">
        <v>5</v>
      </c>
      <c r="D31">
        <v>2665</v>
      </c>
      <c r="E31">
        <v>44136</v>
      </c>
      <c r="F31">
        <v>15990</v>
      </c>
      <c r="G31">
        <v>7328.75</v>
      </c>
    </row>
    <row r="32" spans="1:7" x14ac:dyDescent="0.25">
      <c r="A32">
        <v>4</v>
      </c>
      <c r="B32">
        <v>558048</v>
      </c>
      <c r="C32" t="s">
        <v>5</v>
      </c>
      <c r="D32">
        <v>2646</v>
      </c>
      <c r="E32">
        <v>43709</v>
      </c>
      <c r="F32">
        <v>15876</v>
      </c>
      <c r="G32">
        <v>7276.5</v>
      </c>
    </row>
    <row r="33" spans="1:7" x14ac:dyDescent="0.25">
      <c r="A33">
        <v>3</v>
      </c>
      <c r="B33">
        <v>382237</v>
      </c>
      <c r="C33" t="s">
        <v>4</v>
      </c>
      <c r="D33">
        <v>3165</v>
      </c>
      <c r="E33">
        <v>43831</v>
      </c>
      <c r="F33">
        <v>15825</v>
      </c>
      <c r="G33">
        <v>6963.0000000000009</v>
      </c>
    </row>
    <row r="34" spans="1:7" x14ac:dyDescent="0.25">
      <c r="A34">
        <v>4</v>
      </c>
      <c r="B34">
        <v>488771</v>
      </c>
      <c r="C34" t="s">
        <v>5</v>
      </c>
      <c r="D34">
        <v>2632</v>
      </c>
      <c r="E34">
        <v>43983</v>
      </c>
      <c r="F34">
        <v>15792</v>
      </c>
      <c r="G34">
        <v>7238</v>
      </c>
    </row>
    <row r="35" spans="1:7" x14ac:dyDescent="0.25">
      <c r="A35">
        <v>2</v>
      </c>
      <c r="B35">
        <v>507202</v>
      </c>
      <c r="C35" t="s">
        <v>5</v>
      </c>
      <c r="D35">
        <v>2628</v>
      </c>
      <c r="E35">
        <v>43922</v>
      </c>
      <c r="F35">
        <v>15768</v>
      </c>
      <c r="G35">
        <v>7227</v>
      </c>
    </row>
    <row r="36" spans="1:7" x14ac:dyDescent="0.25">
      <c r="A36">
        <v>5</v>
      </c>
      <c r="B36">
        <v>814769</v>
      </c>
      <c r="C36" t="s">
        <v>5</v>
      </c>
      <c r="D36">
        <v>2605</v>
      </c>
      <c r="E36">
        <v>43770</v>
      </c>
      <c r="F36">
        <v>15630</v>
      </c>
      <c r="G36">
        <v>7163.75</v>
      </c>
    </row>
    <row r="37" spans="1:7" x14ac:dyDescent="0.25">
      <c r="A37">
        <v>4</v>
      </c>
      <c r="B37">
        <v>208456</v>
      </c>
      <c r="C37" t="s">
        <v>5</v>
      </c>
      <c r="D37">
        <v>2574</v>
      </c>
      <c r="E37">
        <v>43770</v>
      </c>
      <c r="F37">
        <v>15444</v>
      </c>
      <c r="G37">
        <v>7078.5</v>
      </c>
    </row>
    <row r="38" spans="1:7" x14ac:dyDescent="0.25">
      <c r="A38">
        <v>2</v>
      </c>
      <c r="B38">
        <v>752353</v>
      </c>
      <c r="C38" t="s">
        <v>5</v>
      </c>
      <c r="D38">
        <v>2536</v>
      </c>
      <c r="E38">
        <v>43770</v>
      </c>
      <c r="F38">
        <v>15216</v>
      </c>
      <c r="G38">
        <v>6974</v>
      </c>
    </row>
    <row r="39" spans="1:7" x14ac:dyDescent="0.25">
      <c r="A39">
        <v>3</v>
      </c>
      <c r="B39">
        <v>215670</v>
      </c>
      <c r="C39" t="s">
        <v>4</v>
      </c>
      <c r="D39">
        <v>2993</v>
      </c>
      <c r="E39">
        <v>43891</v>
      </c>
      <c r="F39">
        <v>14965</v>
      </c>
      <c r="G39">
        <v>6584.6</v>
      </c>
    </row>
    <row r="40" spans="1:7" x14ac:dyDescent="0.25">
      <c r="A40">
        <v>3</v>
      </c>
      <c r="B40">
        <v>788375</v>
      </c>
      <c r="C40" t="s">
        <v>3</v>
      </c>
      <c r="D40">
        <v>2993</v>
      </c>
      <c r="E40">
        <v>44075</v>
      </c>
      <c r="F40">
        <v>14965</v>
      </c>
      <c r="G40">
        <v>5986</v>
      </c>
    </row>
    <row r="41" spans="1:7" x14ac:dyDescent="0.25">
      <c r="A41">
        <v>2</v>
      </c>
      <c r="B41">
        <v>440377</v>
      </c>
      <c r="C41" t="s">
        <v>3</v>
      </c>
      <c r="D41">
        <v>2992</v>
      </c>
      <c r="E41">
        <v>43739</v>
      </c>
      <c r="F41">
        <v>14960</v>
      </c>
      <c r="G41">
        <v>5984</v>
      </c>
    </row>
    <row r="42" spans="1:7" x14ac:dyDescent="0.25">
      <c r="A42">
        <v>3</v>
      </c>
      <c r="B42">
        <v>508782</v>
      </c>
      <c r="C42" t="s">
        <v>3</v>
      </c>
      <c r="D42">
        <v>2992</v>
      </c>
      <c r="E42">
        <v>43891</v>
      </c>
      <c r="F42">
        <v>14960</v>
      </c>
      <c r="G42">
        <v>5984</v>
      </c>
    </row>
    <row r="43" spans="1:7" x14ac:dyDescent="0.25">
      <c r="A43">
        <v>3</v>
      </c>
      <c r="B43">
        <v>288851</v>
      </c>
      <c r="C43" t="s">
        <v>3</v>
      </c>
      <c r="D43">
        <v>2988</v>
      </c>
      <c r="E43">
        <v>44013</v>
      </c>
      <c r="F43">
        <v>14940</v>
      </c>
      <c r="G43">
        <v>5976</v>
      </c>
    </row>
    <row r="44" spans="1:7" x14ac:dyDescent="0.25">
      <c r="A44">
        <v>3</v>
      </c>
      <c r="B44">
        <v>253215</v>
      </c>
      <c r="C44" t="s">
        <v>4</v>
      </c>
      <c r="D44">
        <v>2966</v>
      </c>
      <c r="E44">
        <v>43739</v>
      </c>
      <c r="F44">
        <v>14830</v>
      </c>
      <c r="G44">
        <v>6525.2000000000007</v>
      </c>
    </row>
    <row r="45" spans="1:7" x14ac:dyDescent="0.25">
      <c r="A45">
        <v>4</v>
      </c>
      <c r="B45">
        <v>233911</v>
      </c>
      <c r="C45" t="s">
        <v>5</v>
      </c>
      <c r="D45">
        <v>2460</v>
      </c>
      <c r="E45">
        <v>44013</v>
      </c>
      <c r="F45">
        <v>14760</v>
      </c>
      <c r="G45">
        <v>6765</v>
      </c>
    </row>
    <row r="46" spans="1:7" x14ac:dyDescent="0.25">
      <c r="A46">
        <v>5</v>
      </c>
      <c r="B46">
        <v>854455</v>
      </c>
      <c r="C46" t="s">
        <v>3</v>
      </c>
      <c r="D46">
        <v>2931</v>
      </c>
      <c r="E46">
        <v>43709</v>
      </c>
      <c r="F46">
        <v>14655</v>
      </c>
      <c r="G46">
        <v>5862</v>
      </c>
    </row>
    <row r="47" spans="1:7" x14ac:dyDescent="0.25">
      <c r="A47">
        <v>4</v>
      </c>
      <c r="B47">
        <v>727940</v>
      </c>
      <c r="C47" t="s">
        <v>5</v>
      </c>
      <c r="D47">
        <v>2438</v>
      </c>
      <c r="E47">
        <v>43800</v>
      </c>
      <c r="F47">
        <v>14628</v>
      </c>
      <c r="G47">
        <v>6704.5</v>
      </c>
    </row>
    <row r="48" spans="1:7" x14ac:dyDescent="0.25">
      <c r="A48">
        <v>3</v>
      </c>
      <c r="B48">
        <v>549329</v>
      </c>
      <c r="C48" t="s">
        <v>3</v>
      </c>
      <c r="D48">
        <v>2918</v>
      </c>
      <c r="E48">
        <v>43952</v>
      </c>
      <c r="F48">
        <v>14590</v>
      </c>
      <c r="G48">
        <v>5836</v>
      </c>
    </row>
    <row r="50" spans="1:7" x14ac:dyDescent="0.25">
      <c r="A50">
        <v>4</v>
      </c>
      <c r="B50">
        <v>673372</v>
      </c>
      <c r="C50" t="s">
        <v>5</v>
      </c>
      <c r="D50">
        <v>2431</v>
      </c>
      <c r="E50">
        <v>44166</v>
      </c>
      <c r="F50">
        <v>14586</v>
      </c>
      <c r="G50">
        <v>6685.25</v>
      </c>
    </row>
    <row r="51" spans="1:7" x14ac:dyDescent="0.25">
      <c r="A51">
        <v>3</v>
      </c>
      <c r="B51">
        <v>898886</v>
      </c>
      <c r="C51" t="s">
        <v>3</v>
      </c>
      <c r="D51">
        <v>2914</v>
      </c>
      <c r="E51">
        <v>44105</v>
      </c>
      <c r="F51">
        <v>14570</v>
      </c>
      <c r="G51">
        <v>5828</v>
      </c>
    </row>
    <row r="52" spans="1:7" x14ac:dyDescent="0.25">
      <c r="A52">
        <v>5</v>
      </c>
      <c r="B52">
        <v>841420</v>
      </c>
      <c r="C52" t="s">
        <v>4</v>
      </c>
      <c r="D52">
        <v>2914</v>
      </c>
      <c r="E52">
        <v>44105</v>
      </c>
      <c r="F52">
        <v>14570</v>
      </c>
      <c r="G52">
        <v>6410.8</v>
      </c>
    </row>
    <row r="53" spans="1:7" x14ac:dyDescent="0.25">
      <c r="A53">
        <v>3</v>
      </c>
      <c r="B53">
        <v>755930</v>
      </c>
      <c r="C53" t="s">
        <v>4</v>
      </c>
      <c r="D53">
        <v>2907</v>
      </c>
      <c r="E53">
        <v>43983</v>
      </c>
      <c r="F53">
        <v>14535</v>
      </c>
      <c r="G53">
        <v>6395.4000000000005</v>
      </c>
    </row>
    <row r="54" spans="1:7" x14ac:dyDescent="0.25">
      <c r="A54">
        <v>4</v>
      </c>
      <c r="B54">
        <v>160202</v>
      </c>
      <c r="C54" t="s">
        <v>3</v>
      </c>
      <c r="D54">
        <v>2905</v>
      </c>
      <c r="E54">
        <v>44136</v>
      </c>
      <c r="F54">
        <v>14525</v>
      </c>
      <c r="G54">
        <v>5810</v>
      </c>
    </row>
    <row r="55" spans="1:7" x14ac:dyDescent="0.25">
      <c r="A55">
        <v>3</v>
      </c>
      <c r="B55">
        <v>271981</v>
      </c>
      <c r="C55" t="s">
        <v>4</v>
      </c>
      <c r="D55">
        <v>2876</v>
      </c>
      <c r="E55">
        <v>44075</v>
      </c>
      <c r="F55">
        <v>14380</v>
      </c>
      <c r="G55">
        <v>6327.2000000000007</v>
      </c>
    </row>
    <row r="56" spans="1:7" x14ac:dyDescent="0.25">
      <c r="A56">
        <v>5</v>
      </c>
      <c r="B56">
        <v>177011</v>
      </c>
      <c r="C56" t="s">
        <v>3</v>
      </c>
      <c r="D56">
        <v>2852</v>
      </c>
      <c r="E56">
        <v>44166</v>
      </c>
      <c r="F56">
        <v>14260</v>
      </c>
      <c r="G56">
        <v>5704</v>
      </c>
    </row>
    <row r="57" spans="1:7" x14ac:dyDescent="0.25">
      <c r="A57">
        <v>4</v>
      </c>
      <c r="B57">
        <v>251968</v>
      </c>
      <c r="C57" t="s">
        <v>3</v>
      </c>
      <c r="D57">
        <v>2851</v>
      </c>
      <c r="E57">
        <v>43952</v>
      </c>
      <c r="F57">
        <v>14255</v>
      </c>
      <c r="G57">
        <v>5702</v>
      </c>
    </row>
    <row r="58" spans="1:7" x14ac:dyDescent="0.25">
      <c r="A58">
        <v>2</v>
      </c>
      <c r="B58">
        <v>374115</v>
      </c>
      <c r="C58" t="s">
        <v>4</v>
      </c>
      <c r="D58">
        <v>2844</v>
      </c>
      <c r="E58">
        <v>43952</v>
      </c>
      <c r="F58">
        <v>14220</v>
      </c>
      <c r="G58">
        <v>6256.8</v>
      </c>
    </row>
    <row r="59" spans="1:7" x14ac:dyDescent="0.25">
      <c r="A59">
        <v>4</v>
      </c>
      <c r="B59">
        <v>507642</v>
      </c>
      <c r="C59" t="s">
        <v>5</v>
      </c>
      <c r="D59">
        <v>2338</v>
      </c>
      <c r="E59">
        <v>43983</v>
      </c>
      <c r="F59">
        <v>14028</v>
      </c>
      <c r="G59">
        <v>6429.5</v>
      </c>
    </row>
    <row r="60" spans="1:7" x14ac:dyDescent="0.25">
      <c r="A60">
        <v>4</v>
      </c>
      <c r="B60">
        <v>307196</v>
      </c>
      <c r="C60" t="s">
        <v>3</v>
      </c>
      <c r="D60">
        <v>2797</v>
      </c>
      <c r="E60">
        <v>44166</v>
      </c>
      <c r="F60">
        <v>13985</v>
      </c>
      <c r="G60">
        <v>5594</v>
      </c>
    </row>
    <row r="61" spans="1:7" x14ac:dyDescent="0.25">
      <c r="A61">
        <v>5</v>
      </c>
      <c r="B61">
        <v>867252</v>
      </c>
      <c r="C61" t="s">
        <v>3</v>
      </c>
      <c r="D61">
        <v>2763</v>
      </c>
      <c r="E61">
        <v>43770</v>
      </c>
      <c r="F61">
        <v>13815</v>
      </c>
      <c r="G61">
        <v>5526</v>
      </c>
    </row>
    <row r="62" spans="1:7" x14ac:dyDescent="0.25">
      <c r="A62">
        <v>4</v>
      </c>
      <c r="B62">
        <v>410583</v>
      </c>
      <c r="C62" t="s">
        <v>4</v>
      </c>
      <c r="D62">
        <v>2761</v>
      </c>
      <c r="E62">
        <v>43709</v>
      </c>
      <c r="F62">
        <v>13805</v>
      </c>
      <c r="G62">
        <v>6074.2000000000007</v>
      </c>
    </row>
    <row r="63" spans="1:7" x14ac:dyDescent="0.25">
      <c r="A63">
        <v>3</v>
      </c>
      <c r="B63">
        <v>876370</v>
      </c>
      <c r="C63" t="s">
        <v>2</v>
      </c>
      <c r="D63">
        <v>3445.5</v>
      </c>
      <c r="E63">
        <v>43922</v>
      </c>
      <c r="F63">
        <v>13782</v>
      </c>
      <c r="G63">
        <v>5168.25</v>
      </c>
    </row>
    <row r="64" spans="1:7" x14ac:dyDescent="0.25">
      <c r="A64">
        <v>3</v>
      </c>
      <c r="B64">
        <v>378254</v>
      </c>
      <c r="C64" t="s">
        <v>5</v>
      </c>
      <c r="D64">
        <v>2294</v>
      </c>
      <c r="E64">
        <v>43739</v>
      </c>
      <c r="F64">
        <v>13764</v>
      </c>
      <c r="G64">
        <v>6308.5</v>
      </c>
    </row>
    <row r="65" spans="1:7" x14ac:dyDescent="0.25">
      <c r="A65">
        <v>3</v>
      </c>
      <c r="B65">
        <v>736328</v>
      </c>
      <c r="C65" t="s">
        <v>4</v>
      </c>
      <c r="D65">
        <v>2750</v>
      </c>
      <c r="E65">
        <v>43862</v>
      </c>
      <c r="F65">
        <v>13750</v>
      </c>
      <c r="G65">
        <v>6050.0000000000009</v>
      </c>
    </row>
    <row r="66" spans="1:7" x14ac:dyDescent="0.25">
      <c r="A66">
        <v>4</v>
      </c>
      <c r="B66">
        <v>723364</v>
      </c>
      <c r="C66" t="s">
        <v>4</v>
      </c>
      <c r="D66">
        <v>2734</v>
      </c>
      <c r="E66">
        <v>44105</v>
      </c>
      <c r="F66">
        <v>13670</v>
      </c>
      <c r="G66">
        <v>6014.8</v>
      </c>
    </row>
    <row r="67" spans="1:7" x14ac:dyDescent="0.25">
      <c r="A67">
        <v>2</v>
      </c>
      <c r="B67">
        <v>306694</v>
      </c>
      <c r="C67" t="s">
        <v>3</v>
      </c>
      <c r="D67">
        <v>2729</v>
      </c>
      <c r="E67">
        <v>44166</v>
      </c>
      <c r="F67">
        <v>13645</v>
      </c>
      <c r="G67">
        <v>5458</v>
      </c>
    </row>
    <row r="68" spans="1:7" x14ac:dyDescent="0.25">
      <c r="A68">
        <v>2</v>
      </c>
      <c r="B68">
        <v>209116</v>
      </c>
      <c r="C68" t="s">
        <v>3</v>
      </c>
      <c r="D68">
        <v>2708</v>
      </c>
      <c r="E68">
        <v>43862</v>
      </c>
      <c r="F68">
        <v>13540</v>
      </c>
      <c r="G68">
        <v>5416</v>
      </c>
    </row>
    <row r="69" spans="1:7" x14ac:dyDescent="0.25">
      <c r="A69">
        <v>3</v>
      </c>
      <c r="B69">
        <v>121808</v>
      </c>
      <c r="C69" t="s">
        <v>3</v>
      </c>
      <c r="D69">
        <v>2696</v>
      </c>
      <c r="E69">
        <v>44044</v>
      </c>
      <c r="F69">
        <v>13480</v>
      </c>
      <c r="G69">
        <v>5392</v>
      </c>
    </row>
    <row r="70" spans="1:7" x14ac:dyDescent="0.25">
      <c r="A70">
        <v>5</v>
      </c>
      <c r="B70">
        <v>335658</v>
      </c>
      <c r="C70" t="s">
        <v>3</v>
      </c>
      <c r="D70">
        <v>2689</v>
      </c>
      <c r="E70">
        <v>44105</v>
      </c>
      <c r="F70">
        <v>13445</v>
      </c>
      <c r="G70">
        <v>5378</v>
      </c>
    </row>
    <row r="71" spans="1:7" x14ac:dyDescent="0.25">
      <c r="A71">
        <v>4</v>
      </c>
      <c r="B71">
        <v>444225</v>
      </c>
      <c r="C71" t="s">
        <v>3</v>
      </c>
      <c r="D71">
        <v>2663</v>
      </c>
      <c r="E71">
        <v>44166</v>
      </c>
      <c r="F71">
        <v>13315</v>
      </c>
      <c r="G71">
        <v>5326</v>
      </c>
    </row>
    <row r="72" spans="1:7" x14ac:dyDescent="0.25">
      <c r="A72">
        <v>3</v>
      </c>
      <c r="B72">
        <v>388978</v>
      </c>
      <c r="C72" t="s">
        <v>3</v>
      </c>
      <c r="D72">
        <v>2641</v>
      </c>
      <c r="E72">
        <v>43862</v>
      </c>
      <c r="F72">
        <v>13205</v>
      </c>
      <c r="G72">
        <v>5282</v>
      </c>
    </row>
    <row r="73" spans="1:7" x14ac:dyDescent="0.25">
      <c r="A73">
        <v>2</v>
      </c>
      <c r="B73">
        <v>123693</v>
      </c>
      <c r="C73" t="s">
        <v>3</v>
      </c>
      <c r="D73">
        <v>2632</v>
      </c>
      <c r="E73">
        <v>43983</v>
      </c>
      <c r="F73">
        <v>13160</v>
      </c>
      <c r="G73">
        <v>5264</v>
      </c>
    </row>
    <row r="74" spans="1:7" x14ac:dyDescent="0.25">
      <c r="A74">
        <v>4</v>
      </c>
      <c r="B74">
        <v>424398</v>
      </c>
      <c r="C74" t="s">
        <v>4</v>
      </c>
      <c r="D74">
        <v>2629</v>
      </c>
      <c r="E74">
        <v>43831</v>
      </c>
      <c r="F74">
        <v>13145</v>
      </c>
      <c r="G74">
        <v>5783.8</v>
      </c>
    </row>
    <row r="75" spans="1:7" x14ac:dyDescent="0.25">
      <c r="A75">
        <v>5</v>
      </c>
      <c r="B75">
        <v>587035</v>
      </c>
      <c r="C75" t="s">
        <v>3</v>
      </c>
      <c r="D75">
        <v>2620</v>
      </c>
      <c r="E75">
        <v>44075</v>
      </c>
      <c r="F75">
        <v>13100</v>
      </c>
      <c r="G75">
        <v>5240</v>
      </c>
    </row>
    <row r="76" spans="1:7" x14ac:dyDescent="0.25">
      <c r="A76">
        <v>3</v>
      </c>
      <c r="B76">
        <v>375461</v>
      </c>
      <c r="C76" t="s">
        <v>5</v>
      </c>
      <c r="D76">
        <v>2177</v>
      </c>
      <c r="E76">
        <v>44105</v>
      </c>
      <c r="F76">
        <v>13062</v>
      </c>
      <c r="G76">
        <v>5986.75</v>
      </c>
    </row>
    <row r="77" spans="1:7" x14ac:dyDescent="0.25">
      <c r="A77">
        <v>1</v>
      </c>
      <c r="B77">
        <v>806592</v>
      </c>
      <c r="C77" t="s">
        <v>5</v>
      </c>
      <c r="D77">
        <v>2161</v>
      </c>
      <c r="E77">
        <v>43891</v>
      </c>
      <c r="F77">
        <v>12966</v>
      </c>
      <c r="G77">
        <v>5942.75</v>
      </c>
    </row>
    <row r="78" spans="1:7" x14ac:dyDescent="0.25">
      <c r="A78">
        <v>2</v>
      </c>
      <c r="B78">
        <v>431261</v>
      </c>
      <c r="C78" t="s">
        <v>5</v>
      </c>
      <c r="D78">
        <v>2145</v>
      </c>
      <c r="E78">
        <v>43739</v>
      </c>
      <c r="F78">
        <v>12870</v>
      </c>
      <c r="G78">
        <v>5898.75</v>
      </c>
    </row>
    <row r="79" spans="1:7" x14ac:dyDescent="0.25">
      <c r="A79">
        <v>4</v>
      </c>
      <c r="B79">
        <v>702523</v>
      </c>
      <c r="C79" t="s">
        <v>4</v>
      </c>
      <c r="D79">
        <v>2574</v>
      </c>
      <c r="E79">
        <v>44044</v>
      </c>
      <c r="F79">
        <v>12870</v>
      </c>
      <c r="G79">
        <v>5662.8</v>
      </c>
    </row>
    <row r="80" spans="1:7" x14ac:dyDescent="0.25">
      <c r="A80">
        <v>2</v>
      </c>
      <c r="B80">
        <v>334678</v>
      </c>
      <c r="C80" t="s">
        <v>3</v>
      </c>
      <c r="D80">
        <v>2565</v>
      </c>
      <c r="E80">
        <v>43831</v>
      </c>
      <c r="F80">
        <v>12825</v>
      </c>
      <c r="G80">
        <v>5130</v>
      </c>
    </row>
    <row r="81" spans="1:7" x14ac:dyDescent="0.25">
      <c r="A81">
        <v>3</v>
      </c>
      <c r="B81">
        <v>408804</v>
      </c>
      <c r="C81" t="s">
        <v>3</v>
      </c>
      <c r="D81">
        <v>2559</v>
      </c>
      <c r="E81">
        <v>44044</v>
      </c>
      <c r="F81">
        <v>12795</v>
      </c>
      <c r="G81">
        <v>5118</v>
      </c>
    </row>
    <row r="82" spans="1:7" x14ac:dyDescent="0.25">
      <c r="A82">
        <v>4</v>
      </c>
      <c r="B82">
        <v>519269</v>
      </c>
      <c r="C82" t="s">
        <v>4</v>
      </c>
      <c r="D82">
        <v>2548</v>
      </c>
      <c r="E82">
        <v>43770</v>
      </c>
      <c r="F82">
        <v>12740</v>
      </c>
      <c r="G82">
        <v>5605.6</v>
      </c>
    </row>
    <row r="83" spans="1:7" x14ac:dyDescent="0.25">
      <c r="A83">
        <v>3</v>
      </c>
      <c r="B83">
        <v>844763</v>
      </c>
      <c r="C83" t="s">
        <v>3</v>
      </c>
      <c r="D83">
        <v>2535</v>
      </c>
      <c r="E83">
        <v>43922</v>
      </c>
      <c r="F83">
        <v>12675</v>
      </c>
      <c r="G83">
        <v>5070</v>
      </c>
    </row>
    <row r="84" spans="1:7" x14ac:dyDescent="0.25">
      <c r="A84">
        <v>3</v>
      </c>
      <c r="B84">
        <v>436809</v>
      </c>
      <c r="C84" t="s">
        <v>3</v>
      </c>
      <c r="D84">
        <v>2532</v>
      </c>
      <c r="E84">
        <v>43922</v>
      </c>
      <c r="F84">
        <v>12660</v>
      </c>
      <c r="G84">
        <v>5064</v>
      </c>
    </row>
    <row r="85" spans="1:7" x14ac:dyDescent="0.25">
      <c r="A85">
        <v>5</v>
      </c>
      <c r="B85">
        <v>764088</v>
      </c>
      <c r="C85" t="s">
        <v>5</v>
      </c>
      <c r="D85">
        <v>2110</v>
      </c>
      <c r="E85">
        <v>44075</v>
      </c>
      <c r="F85">
        <v>12660</v>
      </c>
      <c r="G85">
        <v>5802.5</v>
      </c>
    </row>
    <row r="86" spans="1:7" x14ac:dyDescent="0.25">
      <c r="A86">
        <v>3</v>
      </c>
      <c r="B86">
        <v>684759</v>
      </c>
      <c r="C86" t="s">
        <v>3</v>
      </c>
      <c r="D86">
        <v>2518</v>
      </c>
      <c r="E86">
        <v>43983</v>
      </c>
      <c r="F86">
        <v>12590</v>
      </c>
      <c r="G86">
        <v>5036</v>
      </c>
    </row>
    <row r="87" spans="1:7" x14ac:dyDescent="0.25">
      <c r="A87">
        <v>2</v>
      </c>
      <c r="B87">
        <v>894331</v>
      </c>
      <c r="C87" t="s">
        <v>5</v>
      </c>
      <c r="D87">
        <v>2092</v>
      </c>
      <c r="E87">
        <v>43770</v>
      </c>
      <c r="F87">
        <v>12552</v>
      </c>
      <c r="G87">
        <v>5753</v>
      </c>
    </row>
    <row r="88" spans="1:7" x14ac:dyDescent="0.25">
      <c r="A88">
        <v>1</v>
      </c>
      <c r="B88">
        <v>529471</v>
      </c>
      <c r="C88" t="s">
        <v>5</v>
      </c>
      <c r="D88">
        <v>2087</v>
      </c>
      <c r="E88">
        <v>44075</v>
      </c>
      <c r="F88">
        <v>12522</v>
      </c>
      <c r="G88">
        <v>5739.25</v>
      </c>
    </row>
    <row r="89" spans="1:7" x14ac:dyDescent="0.25">
      <c r="A89">
        <v>1</v>
      </c>
      <c r="B89">
        <v>881268</v>
      </c>
      <c r="C89" t="s">
        <v>5</v>
      </c>
      <c r="D89">
        <v>2076</v>
      </c>
      <c r="E89">
        <v>43739</v>
      </c>
      <c r="F89">
        <v>12456</v>
      </c>
      <c r="G89">
        <v>5709</v>
      </c>
    </row>
    <row r="90" spans="1:7" x14ac:dyDescent="0.25">
      <c r="A90">
        <v>3</v>
      </c>
      <c r="B90">
        <v>683349</v>
      </c>
      <c r="C90" t="s">
        <v>4</v>
      </c>
      <c r="D90">
        <v>2475</v>
      </c>
      <c r="E90">
        <v>43891</v>
      </c>
      <c r="F90">
        <v>12375</v>
      </c>
      <c r="G90">
        <v>5445</v>
      </c>
    </row>
    <row r="91" spans="1:7" x14ac:dyDescent="0.25">
      <c r="A91">
        <v>4</v>
      </c>
      <c r="B91">
        <v>140516</v>
      </c>
      <c r="C91" t="s">
        <v>4</v>
      </c>
      <c r="D91">
        <v>2475</v>
      </c>
      <c r="E91">
        <v>44044</v>
      </c>
      <c r="F91">
        <v>12375</v>
      </c>
      <c r="G91">
        <v>5445</v>
      </c>
    </row>
    <row r="92" spans="1:7" x14ac:dyDescent="0.25">
      <c r="A92">
        <v>5</v>
      </c>
      <c r="B92">
        <v>703997</v>
      </c>
      <c r="C92" t="s">
        <v>3</v>
      </c>
      <c r="D92">
        <v>2472</v>
      </c>
      <c r="E92">
        <v>44075</v>
      </c>
      <c r="F92">
        <v>12360</v>
      </c>
      <c r="G92">
        <v>4944</v>
      </c>
    </row>
    <row r="93" spans="1:7" x14ac:dyDescent="0.25">
      <c r="A93">
        <v>3</v>
      </c>
      <c r="B93">
        <v>864409</v>
      </c>
      <c r="C93" t="s">
        <v>3</v>
      </c>
      <c r="D93">
        <v>2470</v>
      </c>
      <c r="E93">
        <v>43709</v>
      </c>
      <c r="F93">
        <v>12350</v>
      </c>
      <c r="G93">
        <v>4940</v>
      </c>
    </row>
    <row r="94" spans="1:7" x14ac:dyDescent="0.25">
      <c r="A94">
        <v>3</v>
      </c>
      <c r="B94">
        <v>496123</v>
      </c>
      <c r="C94" t="s">
        <v>3</v>
      </c>
      <c r="D94">
        <v>2460</v>
      </c>
      <c r="E94">
        <v>43983</v>
      </c>
      <c r="F94">
        <v>12300</v>
      </c>
      <c r="G94">
        <v>4920</v>
      </c>
    </row>
    <row r="95" spans="1:7" x14ac:dyDescent="0.25">
      <c r="A95">
        <v>3</v>
      </c>
      <c r="B95">
        <v>235897</v>
      </c>
      <c r="C95" t="s">
        <v>4</v>
      </c>
      <c r="D95">
        <v>2460</v>
      </c>
      <c r="E95">
        <v>43983</v>
      </c>
      <c r="F95">
        <v>12300</v>
      </c>
      <c r="G95">
        <v>5412</v>
      </c>
    </row>
    <row r="96" spans="1:7" x14ac:dyDescent="0.25">
      <c r="A96">
        <v>3</v>
      </c>
      <c r="B96">
        <v>120842</v>
      </c>
      <c r="C96" t="s">
        <v>3</v>
      </c>
      <c r="D96">
        <v>2441</v>
      </c>
      <c r="E96">
        <v>44105</v>
      </c>
      <c r="F96">
        <v>12205</v>
      </c>
      <c r="G96">
        <v>4882</v>
      </c>
    </row>
    <row r="97" spans="1:7" x14ac:dyDescent="0.25">
      <c r="A97">
        <v>2</v>
      </c>
      <c r="B97">
        <v>859158</v>
      </c>
      <c r="C97" t="s">
        <v>3</v>
      </c>
      <c r="D97">
        <v>2434.5</v>
      </c>
      <c r="E97">
        <v>43831</v>
      </c>
      <c r="F97">
        <v>12172.5</v>
      </c>
      <c r="G97">
        <v>4869</v>
      </c>
    </row>
    <row r="98" spans="1:7" x14ac:dyDescent="0.25">
      <c r="A98">
        <v>5</v>
      </c>
      <c r="B98">
        <v>115582</v>
      </c>
      <c r="C98" t="s">
        <v>3</v>
      </c>
      <c r="D98">
        <v>2431</v>
      </c>
      <c r="E98">
        <v>44166</v>
      </c>
      <c r="F98">
        <v>12155</v>
      </c>
      <c r="G98">
        <v>4862</v>
      </c>
    </row>
    <row r="99" spans="1:7" x14ac:dyDescent="0.25">
      <c r="A99">
        <v>4</v>
      </c>
      <c r="B99">
        <v>442121</v>
      </c>
      <c r="C99" t="s">
        <v>3</v>
      </c>
      <c r="D99">
        <v>2428</v>
      </c>
      <c r="E99">
        <v>43891</v>
      </c>
      <c r="F99">
        <v>12140</v>
      </c>
      <c r="G99">
        <v>4856</v>
      </c>
    </row>
    <row r="100" spans="1:7" x14ac:dyDescent="0.25">
      <c r="A100">
        <v>2</v>
      </c>
      <c r="B100">
        <v>146841</v>
      </c>
      <c r="C100" t="s">
        <v>3</v>
      </c>
      <c r="D100">
        <v>2425.5</v>
      </c>
      <c r="E100">
        <v>44013</v>
      </c>
      <c r="F100">
        <v>12127.5</v>
      </c>
      <c r="G100">
        <v>4851</v>
      </c>
    </row>
    <row r="101" spans="1:7" x14ac:dyDescent="0.25">
      <c r="A101">
        <v>5</v>
      </c>
      <c r="B101">
        <v>527753</v>
      </c>
      <c r="C101" t="s">
        <v>3</v>
      </c>
      <c r="D101">
        <v>2417</v>
      </c>
      <c r="E101">
        <v>43831</v>
      </c>
      <c r="F101">
        <v>12085</v>
      </c>
      <c r="G101">
        <v>4834</v>
      </c>
    </row>
    <row r="102" spans="1:7" x14ac:dyDescent="0.25">
      <c r="A102">
        <v>4</v>
      </c>
      <c r="B102">
        <v>899743</v>
      </c>
      <c r="C102" t="s">
        <v>5</v>
      </c>
      <c r="D102">
        <v>2009</v>
      </c>
      <c r="E102">
        <v>44105</v>
      </c>
      <c r="F102">
        <v>12054</v>
      </c>
      <c r="G102">
        <v>5524.75</v>
      </c>
    </row>
    <row r="103" spans="1:7" x14ac:dyDescent="0.25">
      <c r="A103">
        <v>3</v>
      </c>
      <c r="B103">
        <v>231476</v>
      </c>
      <c r="C103" t="s">
        <v>3</v>
      </c>
      <c r="D103">
        <v>2409</v>
      </c>
      <c r="E103">
        <v>43709</v>
      </c>
      <c r="F103">
        <v>12045</v>
      </c>
      <c r="G103">
        <v>4818</v>
      </c>
    </row>
    <row r="104" spans="1:7" x14ac:dyDescent="0.25">
      <c r="A104">
        <v>1</v>
      </c>
      <c r="B104">
        <v>727283</v>
      </c>
      <c r="C104" t="s">
        <v>2</v>
      </c>
      <c r="D104">
        <v>2996</v>
      </c>
      <c r="E104">
        <v>43739</v>
      </c>
      <c r="F104">
        <v>11984</v>
      </c>
      <c r="G104">
        <v>4494</v>
      </c>
    </row>
    <row r="105" spans="1:7" x14ac:dyDescent="0.25">
      <c r="A105">
        <v>4</v>
      </c>
      <c r="B105">
        <v>466133</v>
      </c>
      <c r="C105" t="s">
        <v>3</v>
      </c>
      <c r="D105">
        <v>2394</v>
      </c>
      <c r="E105">
        <v>44044</v>
      </c>
      <c r="F105">
        <v>11970</v>
      </c>
      <c r="G105">
        <v>4788</v>
      </c>
    </row>
    <row r="106" spans="1:7" x14ac:dyDescent="0.25">
      <c r="A106">
        <v>4</v>
      </c>
      <c r="B106">
        <v>726489</v>
      </c>
      <c r="C106" t="s">
        <v>3</v>
      </c>
      <c r="D106">
        <v>2385</v>
      </c>
      <c r="E106">
        <v>43891</v>
      </c>
      <c r="F106">
        <v>11925</v>
      </c>
      <c r="G106">
        <v>4770</v>
      </c>
    </row>
    <row r="107" spans="1:7" x14ac:dyDescent="0.25">
      <c r="A107">
        <v>4</v>
      </c>
      <c r="B107">
        <v>235009</v>
      </c>
      <c r="C107" t="s">
        <v>5</v>
      </c>
      <c r="D107">
        <v>1976</v>
      </c>
      <c r="E107">
        <v>44105</v>
      </c>
      <c r="F107">
        <v>11856</v>
      </c>
      <c r="G107">
        <v>5434</v>
      </c>
    </row>
    <row r="108" spans="1:7" x14ac:dyDescent="0.25">
      <c r="A108">
        <v>4</v>
      </c>
      <c r="B108">
        <v>550816</v>
      </c>
      <c r="C108" t="s">
        <v>3</v>
      </c>
      <c r="D108">
        <v>2363</v>
      </c>
      <c r="E108">
        <v>43862</v>
      </c>
      <c r="F108">
        <v>11815</v>
      </c>
      <c r="G108">
        <v>4726</v>
      </c>
    </row>
    <row r="109" spans="1:7" x14ac:dyDescent="0.25">
      <c r="A109">
        <v>2</v>
      </c>
      <c r="B109">
        <v>751733</v>
      </c>
      <c r="C109" t="s">
        <v>5</v>
      </c>
      <c r="D109">
        <v>1967</v>
      </c>
      <c r="E109">
        <v>43891</v>
      </c>
      <c r="F109">
        <v>11802</v>
      </c>
      <c r="G109">
        <v>5409.25</v>
      </c>
    </row>
    <row r="110" spans="1:7" x14ac:dyDescent="0.25">
      <c r="A110">
        <v>2</v>
      </c>
      <c r="B110">
        <v>678731</v>
      </c>
      <c r="C110" t="s">
        <v>3</v>
      </c>
      <c r="D110">
        <v>2349</v>
      </c>
      <c r="E110">
        <v>43709</v>
      </c>
      <c r="F110">
        <v>11745</v>
      </c>
      <c r="G110">
        <v>4698</v>
      </c>
    </row>
    <row r="111" spans="1:7" x14ac:dyDescent="0.25">
      <c r="A111">
        <v>1</v>
      </c>
      <c r="B111">
        <v>779126</v>
      </c>
      <c r="C111" t="s">
        <v>3</v>
      </c>
      <c r="D111">
        <v>2327</v>
      </c>
      <c r="E111">
        <v>43952</v>
      </c>
      <c r="F111">
        <v>11635</v>
      </c>
      <c r="G111">
        <v>4654</v>
      </c>
    </row>
    <row r="112" spans="1:7" x14ac:dyDescent="0.25">
      <c r="A112">
        <v>1</v>
      </c>
      <c r="B112">
        <v>219485</v>
      </c>
      <c r="C112" t="s">
        <v>1</v>
      </c>
      <c r="D112">
        <v>3874.5</v>
      </c>
      <c r="E112">
        <v>44013</v>
      </c>
      <c r="F112">
        <v>11623.5</v>
      </c>
      <c r="G112">
        <v>4843.125</v>
      </c>
    </row>
    <row r="113" spans="1:7" x14ac:dyDescent="0.25">
      <c r="A113">
        <v>2</v>
      </c>
      <c r="B113">
        <v>482625</v>
      </c>
      <c r="C113" t="s">
        <v>5</v>
      </c>
      <c r="D113">
        <v>1916</v>
      </c>
      <c r="E113">
        <v>43800</v>
      </c>
      <c r="F113">
        <v>11496</v>
      </c>
      <c r="G113">
        <v>5269</v>
      </c>
    </row>
    <row r="114" spans="1:7" x14ac:dyDescent="0.25">
      <c r="A114">
        <v>3</v>
      </c>
      <c r="B114">
        <v>176592</v>
      </c>
      <c r="C114" t="s">
        <v>3</v>
      </c>
      <c r="D114">
        <v>2299</v>
      </c>
      <c r="E114">
        <v>43739</v>
      </c>
      <c r="F114">
        <v>11495</v>
      </c>
      <c r="G114">
        <v>4598</v>
      </c>
    </row>
    <row r="115" spans="1:7" x14ac:dyDescent="0.25">
      <c r="A115">
        <v>4</v>
      </c>
      <c r="B115">
        <v>579016</v>
      </c>
      <c r="C115" t="s">
        <v>3</v>
      </c>
      <c r="D115">
        <v>2296</v>
      </c>
      <c r="E115">
        <v>43862</v>
      </c>
      <c r="F115">
        <v>11480</v>
      </c>
      <c r="G115">
        <v>4592</v>
      </c>
    </row>
    <row r="116" spans="1:7" x14ac:dyDescent="0.25">
      <c r="A116">
        <v>1</v>
      </c>
      <c r="B116">
        <v>866409</v>
      </c>
      <c r="C116" t="s">
        <v>2</v>
      </c>
      <c r="D116">
        <v>2852</v>
      </c>
      <c r="E116">
        <v>44166</v>
      </c>
      <c r="F116">
        <v>11408</v>
      </c>
      <c r="G116">
        <v>4278</v>
      </c>
    </row>
    <row r="117" spans="1:7" x14ac:dyDescent="0.25">
      <c r="A117">
        <v>2</v>
      </c>
      <c r="B117">
        <v>654585</v>
      </c>
      <c r="C117" t="s">
        <v>2</v>
      </c>
      <c r="D117">
        <v>2851</v>
      </c>
      <c r="E117">
        <v>43739</v>
      </c>
      <c r="F117">
        <v>11404</v>
      </c>
      <c r="G117">
        <v>4276.5</v>
      </c>
    </row>
    <row r="118" spans="1:7" x14ac:dyDescent="0.25">
      <c r="A118">
        <v>4</v>
      </c>
      <c r="B118">
        <v>655952</v>
      </c>
      <c r="C118" t="s">
        <v>4</v>
      </c>
      <c r="D118">
        <v>2276</v>
      </c>
      <c r="E118">
        <v>43952</v>
      </c>
      <c r="F118">
        <v>11380</v>
      </c>
      <c r="G118">
        <v>5007.2000000000007</v>
      </c>
    </row>
    <row r="119" spans="1:7" x14ac:dyDescent="0.25">
      <c r="A119">
        <v>2</v>
      </c>
      <c r="B119">
        <v>779393</v>
      </c>
      <c r="C119" t="s">
        <v>2</v>
      </c>
      <c r="D119">
        <v>2844</v>
      </c>
      <c r="E119">
        <v>43983</v>
      </c>
      <c r="F119">
        <v>11376</v>
      </c>
      <c r="G119">
        <v>4266</v>
      </c>
    </row>
    <row r="120" spans="1:7" x14ac:dyDescent="0.25">
      <c r="A120">
        <v>2</v>
      </c>
      <c r="B120">
        <v>738910</v>
      </c>
      <c r="C120" t="s">
        <v>3</v>
      </c>
      <c r="D120">
        <v>2261</v>
      </c>
      <c r="E120">
        <v>43800</v>
      </c>
      <c r="F120">
        <v>11305</v>
      </c>
      <c r="G120">
        <v>4522</v>
      </c>
    </row>
    <row r="121" spans="1:7" x14ac:dyDescent="0.25">
      <c r="A121">
        <v>4</v>
      </c>
      <c r="B121">
        <v>384743</v>
      </c>
      <c r="C121" t="s">
        <v>2</v>
      </c>
      <c r="D121">
        <v>2821</v>
      </c>
      <c r="E121">
        <v>43800</v>
      </c>
      <c r="F121">
        <v>11284</v>
      </c>
      <c r="G121">
        <v>4231.5</v>
      </c>
    </row>
    <row r="122" spans="1:7" x14ac:dyDescent="0.25">
      <c r="A122">
        <v>2</v>
      </c>
      <c r="B122">
        <v>327555</v>
      </c>
      <c r="C122" t="s">
        <v>2</v>
      </c>
      <c r="D122">
        <v>2811</v>
      </c>
      <c r="E122">
        <v>44013</v>
      </c>
      <c r="F122">
        <v>11244</v>
      </c>
      <c r="G122">
        <v>4216.5</v>
      </c>
    </row>
    <row r="123" spans="1:7" x14ac:dyDescent="0.25">
      <c r="A123">
        <v>3</v>
      </c>
      <c r="B123">
        <v>761022</v>
      </c>
      <c r="C123" t="s">
        <v>4</v>
      </c>
      <c r="D123">
        <v>2240</v>
      </c>
      <c r="E123">
        <v>43862</v>
      </c>
      <c r="F123">
        <v>11200</v>
      </c>
      <c r="G123">
        <v>4928</v>
      </c>
    </row>
    <row r="124" spans="1:7" x14ac:dyDescent="0.25">
      <c r="A124">
        <v>2</v>
      </c>
      <c r="B124">
        <v>812448</v>
      </c>
      <c r="C124" t="s">
        <v>2</v>
      </c>
      <c r="D124">
        <v>2791</v>
      </c>
      <c r="E124">
        <v>44136</v>
      </c>
      <c r="F124">
        <v>11164</v>
      </c>
      <c r="G124">
        <v>4186.5</v>
      </c>
    </row>
    <row r="125" spans="1:7" x14ac:dyDescent="0.25">
      <c r="A125">
        <v>4</v>
      </c>
      <c r="B125">
        <v>754823</v>
      </c>
      <c r="C125" t="s">
        <v>3</v>
      </c>
      <c r="D125">
        <v>2222</v>
      </c>
      <c r="E125">
        <v>43770</v>
      </c>
      <c r="F125">
        <v>11110</v>
      </c>
      <c r="G125">
        <v>4444</v>
      </c>
    </row>
    <row r="126" spans="1:7" x14ac:dyDescent="0.25">
      <c r="A126">
        <v>4</v>
      </c>
      <c r="B126">
        <v>858434</v>
      </c>
      <c r="C126" t="s">
        <v>2</v>
      </c>
      <c r="D126">
        <v>2767</v>
      </c>
      <c r="E126">
        <v>44044</v>
      </c>
      <c r="F126">
        <v>11068</v>
      </c>
      <c r="G126">
        <v>4150.5</v>
      </c>
    </row>
    <row r="127" spans="1:7" x14ac:dyDescent="0.25">
      <c r="A127">
        <v>3</v>
      </c>
      <c r="B127">
        <v>698245</v>
      </c>
      <c r="C127" t="s">
        <v>3</v>
      </c>
      <c r="D127">
        <v>2198</v>
      </c>
      <c r="E127">
        <v>44044</v>
      </c>
      <c r="F127">
        <v>10990</v>
      </c>
      <c r="G127">
        <v>4396</v>
      </c>
    </row>
    <row r="128" spans="1:7" x14ac:dyDescent="0.25">
      <c r="A128">
        <v>2</v>
      </c>
      <c r="B128">
        <v>356550</v>
      </c>
      <c r="C128" t="s">
        <v>5</v>
      </c>
      <c r="D128">
        <v>1808</v>
      </c>
      <c r="E128">
        <v>44136</v>
      </c>
      <c r="F128">
        <v>10848</v>
      </c>
      <c r="G128">
        <v>4972</v>
      </c>
    </row>
    <row r="129" spans="1:7" x14ac:dyDescent="0.25">
      <c r="A129">
        <v>3</v>
      </c>
      <c r="B129">
        <v>712767</v>
      </c>
      <c r="C129" t="s">
        <v>3</v>
      </c>
      <c r="D129">
        <v>2167</v>
      </c>
      <c r="E129">
        <v>43739</v>
      </c>
      <c r="F129">
        <v>10835</v>
      </c>
      <c r="G129">
        <v>4334</v>
      </c>
    </row>
    <row r="130" spans="1:7" x14ac:dyDescent="0.25">
      <c r="A130">
        <v>4</v>
      </c>
      <c r="B130">
        <v>775360</v>
      </c>
      <c r="C130" t="s">
        <v>5</v>
      </c>
      <c r="D130">
        <v>1804</v>
      </c>
      <c r="E130">
        <v>43862</v>
      </c>
      <c r="F130">
        <v>10824</v>
      </c>
      <c r="G130">
        <v>4961</v>
      </c>
    </row>
    <row r="131" spans="1:7" x14ac:dyDescent="0.25">
      <c r="A131">
        <v>5</v>
      </c>
      <c r="B131">
        <v>535522</v>
      </c>
      <c r="C131" t="s">
        <v>2</v>
      </c>
      <c r="D131">
        <v>2706</v>
      </c>
      <c r="E131">
        <v>43770</v>
      </c>
      <c r="F131">
        <v>10824</v>
      </c>
      <c r="G131">
        <v>4059</v>
      </c>
    </row>
    <row r="132" spans="1:7" x14ac:dyDescent="0.25">
      <c r="A132">
        <v>5</v>
      </c>
      <c r="B132">
        <v>441751</v>
      </c>
      <c r="C132" t="s">
        <v>4</v>
      </c>
      <c r="D132">
        <v>2157</v>
      </c>
      <c r="E132">
        <v>44166</v>
      </c>
      <c r="F132">
        <v>10785</v>
      </c>
      <c r="G132">
        <v>4745.4000000000005</v>
      </c>
    </row>
    <row r="133" spans="1:7" x14ac:dyDescent="0.25">
      <c r="A133">
        <v>5</v>
      </c>
      <c r="B133">
        <v>714255</v>
      </c>
      <c r="C133" t="s">
        <v>3</v>
      </c>
      <c r="D133">
        <v>2156</v>
      </c>
      <c r="E133">
        <v>44105</v>
      </c>
      <c r="F133">
        <v>10780</v>
      </c>
      <c r="G133">
        <v>4312</v>
      </c>
    </row>
    <row r="134" spans="1:7" x14ac:dyDescent="0.25">
      <c r="A134">
        <v>1</v>
      </c>
      <c r="B134">
        <v>481324</v>
      </c>
      <c r="C134" t="s">
        <v>3</v>
      </c>
      <c r="D134">
        <v>2155</v>
      </c>
      <c r="E134">
        <v>44166</v>
      </c>
      <c r="F134">
        <v>10775</v>
      </c>
      <c r="G134">
        <v>4310</v>
      </c>
    </row>
    <row r="135" spans="1:7" x14ac:dyDescent="0.25">
      <c r="A135">
        <v>5</v>
      </c>
      <c r="B135">
        <v>529550</v>
      </c>
      <c r="C135" t="s">
        <v>3</v>
      </c>
      <c r="D135">
        <v>2152</v>
      </c>
      <c r="E135">
        <v>43800</v>
      </c>
      <c r="F135">
        <v>10760</v>
      </c>
      <c r="G135">
        <v>4304</v>
      </c>
    </row>
    <row r="136" spans="1:7" x14ac:dyDescent="0.25">
      <c r="A136">
        <v>1</v>
      </c>
      <c r="B136">
        <v>483789</v>
      </c>
      <c r="C136" t="s">
        <v>2</v>
      </c>
      <c r="D136">
        <v>2689</v>
      </c>
      <c r="E136">
        <v>44136</v>
      </c>
      <c r="F136">
        <v>10756</v>
      </c>
      <c r="G136">
        <v>4033.5</v>
      </c>
    </row>
    <row r="137" spans="1:7" x14ac:dyDescent="0.25">
      <c r="A137">
        <v>3</v>
      </c>
      <c r="B137">
        <v>708450</v>
      </c>
      <c r="C137" t="s">
        <v>3</v>
      </c>
      <c r="D137">
        <v>2151</v>
      </c>
      <c r="E137">
        <v>43770</v>
      </c>
      <c r="F137">
        <v>10755</v>
      </c>
      <c r="G137">
        <v>4302</v>
      </c>
    </row>
    <row r="138" spans="1:7" x14ac:dyDescent="0.25">
      <c r="A138">
        <v>2</v>
      </c>
      <c r="B138">
        <v>389356</v>
      </c>
      <c r="C138" t="s">
        <v>3</v>
      </c>
      <c r="D138">
        <v>2150</v>
      </c>
      <c r="E138">
        <v>44136</v>
      </c>
      <c r="F138">
        <v>10750</v>
      </c>
      <c r="G138">
        <v>4300</v>
      </c>
    </row>
    <row r="139" spans="1:7" x14ac:dyDescent="0.25">
      <c r="A139">
        <v>3</v>
      </c>
      <c r="B139">
        <v>263663</v>
      </c>
      <c r="C139" t="s">
        <v>3</v>
      </c>
      <c r="D139">
        <v>2146</v>
      </c>
      <c r="E139">
        <v>43770</v>
      </c>
      <c r="F139">
        <v>10730</v>
      </c>
      <c r="G139">
        <v>4292</v>
      </c>
    </row>
    <row r="140" spans="1:7" x14ac:dyDescent="0.25">
      <c r="A140">
        <v>3</v>
      </c>
      <c r="B140">
        <v>505159</v>
      </c>
      <c r="C140" t="s">
        <v>3</v>
      </c>
      <c r="D140">
        <v>2145</v>
      </c>
      <c r="E140">
        <v>43739</v>
      </c>
      <c r="F140">
        <v>10725</v>
      </c>
      <c r="G140">
        <v>4290</v>
      </c>
    </row>
    <row r="141" spans="1:7" x14ac:dyDescent="0.25">
      <c r="A141">
        <v>2</v>
      </c>
      <c r="B141">
        <v>348619</v>
      </c>
      <c r="C141" t="s">
        <v>4</v>
      </c>
      <c r="D141">
        <v>2141</v>
      </c>
      <c r="E141">
        <v>44044</v>
      </c>
      <c r="F141">
        <v>10705</v>
      </c>
      <c r="G141">
        <v>4710.2000000000007</v>
      </c>
    </row>
    <row r="142" spans="1:7" x14ac:dyDescent="0.25">
      <c r="A142">
        <v>5</v>
      </c>
      <c r="B142">
        <v>111799</v>
      </c>
      <c r="C142" t="s">
        <v>2</v>
      </c>
      <c r="D142">
        <v>2671</v>
      </c>
      <c r="E142">
        <v>44075</v>
      </c>
      <c r="F142">
        <v>10684</v>
      </c>
      <c r="G142">
        <v>4006.5</v>
      </c>
    </row>
    <row r="143" spans="1:7" x14ac:dyDescent="0.25">
      <c r="A143">
        <v>4</v>
      </c>
      <c r="B143">
        <v>685544</v>
      </c>
      <c r="C143" t="s">
        <v>3</v>
      </c>
      <c r="D143">
        <v>2136</v>
      </c>
      <c r="E143">
        <v>43800</v>
      </c>
      <c r="F143">
        <v>10680</v>
      </c>
      <c r="G143">
        <v>4272</v>
      </c>
    </row>
    <row r="144" spans="1:7" x14ac:dyDescent="0.25">
      <c r="A144">
        <v>3</v>
      </c>
      <c r="B144">
        <v>146778</v>
      </c>
      <c r="C144" t="s">
        <v>3</v>
      </c>
      <c r="D144">
        <v>2125</v>
      </c>
      <c r="E144">
        <v>43800</v>
      </c>
      <c r="F144">
        <v>10625</v>
      </c>
      <c r="G144">
        <v>4250</v>
      </c>
    </row>
    <row r="145" spans="1:7" x14ac:dyDescent="0.25">
      <c r="A145">
        <v>1</v>
      </c>
      <c r="B145">
        <v>636993</v>
      </c>
      <c r="C145" t="s">
        <v>3</v>
      </c>
      <c r="D145">
        <v>2116</v>
      </c>
      <c r="E145">
        <v>43800</v>
      </c>
      <c r="F145">
        <v>10580</v>
      </c>
      <c r="G145">
        <v>4232</v>
      </c>
    </row>
    <row r="146" spans="1:7" x14ac:dyDescent="0.25">
      <c r="A146">
        <v>3</v>
      </c>
      <c r="B146">
        <v>735406</v>
      </c>
      <c r="C146" t="s">
        <v>3</v>
      </c>
      <c r="D146">
        <v>2104.5</v>
      </c>
      <c r="E146">
        <v>44013</v>
      </c>
      <c r="F146">
        <v>10522.5</v>
      </c>
      <c r="G146">
        <v>4209</v>
      </c>
    </row>
    <row r="147" spans="1:7" x14ac:dyDescent="0.25">
      <c r="A147">
        <v>5</v>
      </c>
      <c r="B147">
        <v>126864</v>
      </c>
      <c r="C147" t="s">
        <v>3</v>
      </c>
      <c r="D147">
        <v>2101</v>
      </c>
      <c r="E147">
        <v>44044</v>
      </c>
      <c r="F147">
        <v>10505</v>
      </c>
      <c r="G147">
        <v>4202</v>
      </c>
    </row>
    <row r="148" spans="1:7" x14ac:dyDescent="0.25">
      <c r="A148">
        <v>3</v>
      </c>
      <c r="B148">
        <v>657776</v>
      </c>
      <c r="C148" t="s">
        <v>4</v>
      </c>
      <c r="D148">
        <v>2076</v>
      </c>
      <c r="E148">
        <v>43739</v>
      </c>
      <c r="F148">
        <v>10380</v>
      </c>
      <c r="G148">
        <v>4567.2000000000007</v>
      </c>
    </row>
    <row r="149" spans="1:7" x14ac:dyDescent="0.25">
      <c r="A149">
        <v>3</v>
      </c>
      <c r="B149">
        <v>255145</v>
      </c>
      <c r="C149" t="s">
        <v>3</v>
      </c>
      <c r="D149">
        <v>2074</v>
      </c>
      <c r="E149">
        <v>44075</v>
      </c>
      <c r="F149">
        <v>10370</v>
      </c>
      <c r="G149">
        <v>4148</v>
      </c>
    </row>
    <row r="150" spans="1:7" x14ac:dyDescent="0.25">
      <c r="A150">
        <v>5</v>
      </c>
      <c r="B150">
        <v>190154</v>
      </c>
      <c r="C150" t="s">
        <v>4</v>
      </c>
      <c r="D150">
        <v>2072</v>
      </c>
      <c r="E150">
        <v>44166</v>
      </c>
      <c r="F150">
        <v>10360</v>
      </c>
      <c r="G150">
        <v>4558.4000000000005</v>
      </c>
    </row>
    <row r="151" spans="1:7" x14ac:dyDescent="0.25">
      <c r="A151">
        <v>3</v>
      </c>
      <c r="B151">
        <v>444725</v>
      </c>
      <c r="C151" t="s">
        <v>4</v>
      </c>
      <c r="D151">
        <v>2071</v>
      </c>
      <c r="E151">
        <v>44075</v>
      </c>
      <c r="F151">
        <v>10355</v>
      </c>
      <c r="G151">
        <v>4556.2000000000007</v>
      </c>
    </row>
    <row r="152" spans="1:7" x14ac:dyDescent="0.25">
      <c r="A152">
        <v>1</v>
      </c>
      <c r="B152">
        <v>732442</v>
      </c>
      <c r="C152" t="s">
        <v>2</v>
      </c>
      <c r="D152">
        <v>2580</v>
      </c>
      <c r="E152">
        <v>43922</v>
      </c>
      <c r="F152">
        <v>10320</v>
      </c>
      <c r="G152">
        <v>3870</v>
      </c>
    </row>
    <row r="153" spans="1:7" x14ac:dyDescent="0.25">
      <c r="A153">
        <v>4</v>
      </c>
      <c r="B153">
        <v>455417</v>
      </c>
      <c r="C153" t="s">
        <v>2</v>
      </c>
      <c r="D153">
        <v>2579</v>
      </c>
      <c r="E153">
        <v>43922</v>
      </c>
      <c r="F153">
        <v>10316</v>
      </c>
      <c r="G153">
        <v>3868.5</v>
      </c>
    </row>
    <row r="154" spans="1:7" x14ac:dyDescent="0.25">
      <c r="A154">
        <v>5</v>
      </c>
      <c r="B154">
        <v>759173</v>
      </c>
      <c r="C154" t="s">
        <v>2</v>
      </c>
      <c r="D154">
        <v>2567</v>
      </c>
      <c r="E154">
        <v>43983</v>
      </c>
      <c r="F154">
        <v>10268</v>
      </c>
      <c r="G154">
        <v>3850.5</v>
      </c>
    </row>
    <row r="155" spans="1:7" x14ac:dyDescent="0.25">
      <c r="A155">
        <v>4</v>
      </c>
      <c r="B155">
        <v>120233</v>
      </c>
      <c r="C155" t="s">
        <v>4</v>
      </c>
      <c r="D155">
        <v>2039</v>
      </c>
      <c r="E155">
        <v>43952</v>
      </c>
      <c r="F155">
        <v>10195</v>
      </c>
      <c r="G155">
        <v>4485.8</v>
      </c>
    </row>
    <row r="157" spans="1:7" x14ac:dyDescent="0.25">
      <c r="A157">
        <v>4</v>
      </c>
      <c r="B157">
        <v>872825</v>
      </c>
      <c r="C157" t="s">
        <v>3</v>
      </c>
      <c r="D157">
        <v>2031</v>
      </c>
      <c r="E157">
        <v>44105</v>
      </c>
      <c r="F157">
        <v>10155</v>
      </c>
      <c r="G157">
        <v>4062</v>
      </c>
    </row>
    <row r="158" spans="1:7" x14ac:dyDescent="0.25">
      <c r="A158">
        <v>5</v>
      </c>
      <c r="B158">
        <v>406431</v>
      </c>
      <c r="C158" t="s">
        <v>2</v>
      </c>
      <c r="D158">
        <v>2529</v>
      </c>
      <c r="E158">
        <v>44013</v>
      </c>
      <c r="F158">
        <v>10116</v>
      </c>
      <c r="G158">
        <v>3793.5</v>
      </c>
    </row>
    <row r="159" spans="1:7" x14ac:dyDescent="0.25">
      <c r="A159">
        <v>3</v>
      </c>
      <c r="B159">
        <v>728960</v>
      </c>
      <c r="C159" t="s">
        <v>2</v>
      </c>
      <c r="D159">
        <v>2521.5</v>
      </c>
      <c r="E159">
        <v>43831</v>
      </c>
      <c r="F159">
        <v>10086</v>
      </c>
      <c r="G159">
        <v>3782.25</v>
      </c>
    </row>
    <row r="160" spans="1:7" x14ac:dyDescent="0.25">
      <c r="A160">
        <v>1</v>
      </c>
      <c r="B160">
        <v>208984</v>
      </c>
      <c r="C160" t="s">
        <v>4</v>
      </c>
      <c r="D160">
        <v>2015</v>
      </c>
      <c r="E160">
        <v>43800</v>
      </c>
      <c r="F160">
        <v>10075</v>
      </c>
      <c r="G160">
        <v>4433</v>
      </c>
    </row>
    <row r="161" spans="1:7" x14ac:dyDescent="0.25">
      <c r="A161">
        <v>1</v>
      </c>
      <c r="B161">
        <v>780708</v>
      </c>
      <c r="C161" t="s">
        <v>3</v>
      </c>
      <c r="D161">
        <v>2013</v>
      </c>
      <c r="E161">
        <v>43800</v>
      </c>
      <c r="F161">
        <v>10065</v>
      </c>
      <c r="G161">
        <v>4026</v>
      </c>
    </row>
    <row r="162" spans="1:7" x14ac:dyDescent="0.25">
      <c r="A162">
        <v>2</v>
      </c>
      <c r="B162">
        <v>164895</v>
      </c>
      <c r="C162" t="s">
        <v>3</v>
      </c>
      <c r="D162">
        <v>2009</v>
      </c>
      <c r="E162">
        <v>44105</v>
      </c>
      <c r="F162">
        <v>10045</v>
      </c>
      <c r="G162">
        <v>4018</v>
      </c>
    </row>
    <row r="163" spans="1:7" x14ac:dyDescent="0.25">
      <c r="A163">
        <v>5</v>
      </c>
      <c r="B163">
        <v>117162</v>
      </c>
      <c r="C163" t="s">
        <v>3</v>
      </c>
      <c r="D163">
        <v>2007</v>
      </c>
      <c r="E163">
        <v>43770</v>
      </c>
      <c r="F163">
        <v>10035</v>
      </c>
      <c r="G163">
        <v>4014</v>
      </c>
    </row>
    <row r="164" spans="1:7" x14ac:dyDescent="0.25">
      <c r="A164">
        <v>1</v>
      </c>
      <c r="B164">
        <v>614031</v>
      </c>
      <c r="C164" t="s">
        <v>5</v>
      </c>
      <c r="D164">
        <v>1659</v>
      </c>
      <c r="E164">
        <v>44013</v>
      </c>
      <c r="F164">
        <v>9954</v>
      </c>
      <c r="G164">
        <v>4562.25</v>
      </c>
    </row>
    <row r="165" spans="1:7" x14ac:dyDescent="0.25">
      <c r="A165">
        <v>2</v>
      </c>
      <c r="B165">
        <v>348955</v>
      </c>
      <c r="C165" t="s">
        <v>2</v>
      </c>
      <c r="D165">
        <v>2487</v>
      </c>
      <c r="E165">
        <v>44166</v>
      </c>
      <c r="F165">
        <v>9948</v>
      </c>
      <c r="G165">
        <v>3730.5</v>
      </c>
    </row>
    <row r="166" spans="1:7" x14ac:dyDescent="0.25">
      <c r="A166">
        <v>4</v>
      </c>
      <c r="B166">
        <v>304546</v>
      </c>
      <c r="C166" t="s">
        <v>4</v>
      </c>
      <c r="D166">
        <v>1989</v>
      </c>
      <c r="E166">
        <v>43709</v>
      </c>
      <c r="F166">
        <v>9945</v>
      </c>
      <c r="G166">
        <v>4375.8</v>
      </c>
    </row>
    <row r="167" spans="1:7" x14ac:dyDescent="0.25">
      <c r="A167">
        <v>4</v>
      </c>
      <c r="B167">
        <v>131249</v>
      </c>
      <c r="C167" t="s">
        <v>4</v>
      </c>
      <c r="D167">
        <v>1987.5</v>
      </c>
      <c r="E167">
        <v>43831</v>
      </c>
      <c r="F167">
        <v>9937.5</v>
      </c>
      <c r="G167">
        <v>4372.5</v>
      </c>
    </row>
    <row r="168" spans="1:7" x14ac:dyDescent="0.25">
      <c r="A168">
        <v>3</v>
      </c>
      <c r="B168">
        <v>159484</v>
      </c>
      <c r="C168" t="s">
        <v>3</v>
      </c>
      <c r="D168">
        <v>1984</v>
      </c>
      <c r="E168">
        <v>44044</v>
      </c>
      <c r="F168">
        <v>9920</v>
      </c>
      <c r="G168">
        <v>3968</v>
      </c>
    </row>
    <row r="169" spans="1:7" x14ac:dyDescent="0.25">
      <c r="A169">
        <v>1</v>
      </c>
      <c r="B169">
        <v>293680</v>
      </c>
      <c r="C169" t="s">
        <v>2</v>
      </c>
      <c r="D169">
        <v>2470</v>
      </c>
      <c r="E169">
        <v>43983</v>
      </c>
      <c r="F169">
        <v>9880</v>
      </c>
      <c r="G169">
        <v>3705</v>
      </c>
    </row>
    <row r="170" spans="1:7" x14ac:dyDescent="0.25">
      <c r="A170">
        <v>5</v>
      </c>
      <c r="B170">
        <v>761356</v>
      </c>
      <c r="C170" t="s">
        <v>3</v>
      </c>
      <c r="D170">
        <v>1954</v>
      </c>
      <c r="E170">
        <v>43891</v>
      </c>
      <c r="F170">
        <v>9770</v>
      </c>
      <c r="G170">
        <v>3908</v>
      </c>
    </row>
    <row r="171" spans="1:7" x14ac:dyDescent="0.25">
      <c r="A171">
        <v>3</v>
      </c>
      <c r="B171">
        <v>731074</v>
      </c>
      <c r="C171" t="s">
        <v>4</v>
      </c>
      <c r="D171">
        <v>1953</v>
      </c>
      <c r="E171">
        <v>43922</v>
      </c>
      <c r="F171">
        <v>9765</v>
      </c>
      <c r="G171">
        <v>4296.6000000000004</v>
      </c>
    </row>
    <row r="172" spans="1:7" x14ac:dyDescent="0.25">
      <c r="A172">
        <v>5</v>
      </c>
      <c r="B172">
        <v>363487</v>
      </c>
      <c r="C172" t="s">
        <v>2</v>
      </c>
      <c r="D172">
        <v>2441</v>
      </c>
      <c r="E172">
        <v>44105</v>
      </c>
      <c r="F172">
        <v>9764</v>
      </c>
      <c r="G172">
        <v>3661.5</v>
      </c>
    </row>
    <row r="173" spans="1:7" x14ac:dyDescent="0.25">
      <c r="A173">
        <v>5</v>
      </c>
      <c r="B173">
        <v>617395</v>
      </c>
      <c r="C173" t="s">
        <v>1</v>
      </c>
      <c r="D173">
        <v>3244.5</v>
      </c>
      <c r="E173">
        <v>43831</v>
      </c>
      <c r="F173">
        <v>9733.5</v>
      </c>
      <c r="G173">
        <v>4055.625</v>
      </c>
    </row>
    <row r="174" spans="1:7" x14ac:dyDescent="0.25">
      <c r="A174">
        <v>3</v>
      </c>
      <c r="B174">
        <v>887888</v>
      </c>
      <c r="C174" t="s">
        <v>3</v>
      </c>
      <c r="D174">
        <v>1946</v>
      </c>
      <c r="E174">
        <v>43800</v>
      </c>
      <c r="F174">
        <v>9730</v>
      </c>
      <c r="G174">
        <v>3892</v>
      </c>
    </row>
    <row r="175" spans="1:7" x14ac:dyDescent="0.25">
      <c r="A175">
        <v>1</v>
      </c>
      <c r="B175">
        <v>675075</v>
      </c>
      <c r="C175" t="s">
        <v>3</v>
      </c>
      <c r="D175">
        <v>1945</v>
      </c>
      <c r="E175">
        <v>43739</v>
      </c>
      <c r="F175">
        <v>9725</v>
      </c>
      <c r="G175">
        <v>3890</v>
      </c>
    </row>
    <row r="176" spans="1:7" x14ac:dyDescent="0.25">
      <c r="A176">
        <v>3</v>
      </c>
      <c r="B176">
        <v>100553</v>
      </c>
      <c r="C176" t="s">
        <v>3</v>
      </c>
      <c r="D176">
        <v>1934</v>
      </c>
      <c r="E176">
        <v>44075</v>
      </c>
      <c r="F176">
        <v>9670</v>
      </c>
      <c r="G176">
        <v>3868</v>
      </c>
    </row>
    <row r="177" spans="1:7" x14ac:dyDescent="0.25">
      <c r="A177">
        <v>3</v>
      </c>
      <c r="B177">
        <v>105566</v>
      </c>
      <c r="C177" t="s">
        <v>2</v>
      </c>
      <c r="D177">
        <v>2416</v>
      </c>
      <c r="E177">
        <v>43709</v>
      </c>
      <c r="F177">
        <v>9664</v>
      </c>
      <c r="G177">
        <v>3624</v>
      </c>
    </row>
    <row r="178" spans="1:7" x14ac:dyDescent="0.25">
      <c r="A178">
        <v>5</v>
      </c>
      <c r="B178">
        <v>793514</v>
      </c>
      <c r="C178" t="s">
        <v>3</v>
      </c>
      <c r="D178">
        <v>1925</v>
      </c>
      <c r="E178">
        <v>43800</v>
      </c>
      <c r="F178">
        <v>9625</v>
      </c>
      <c r="G178">
        <v>3850</v>
      </c>
    </row>
    <row r="179" spans="1:7" x14ac:dyDescent="0.25">
      <c r="A179">
        <v>5</v>
      </c>
      <c r="B179">
        <v>364025</v>
      </c>
      <c r="C179" t="s">
        <v>3</v>
      </c>
      <c r="D179">
        <v>1922</v>
      </c>
      <c r="E179">
        <v>43770</v>
      </c>
      <c r="F179">
        <v>9610</v>
      </c>
      <c r="G179">
        <v>3844</v>
      </c>
    </row>
    <row r="180" spans="1:7" x14ac:dyDescent="0.25">
      <c r="A180">
        <v>3</v>
      </c>
      <c r="B180">
        <v>580583</v>
      </c>
      <c r="C180" t="s">
        <v>4</v>
      </c>
      <c r="D180">
        <v>1916</v>
      </c>
      <c r="E180">
        <v>44166</v>
      </c>
      <c r="F180">
        <v>9580</v>
      </c>
      <c r="G180">
        <v>4215.2000000000007</v>
      </c>
    </row>
    <row r="181" spans="1:7" x14ac:dyDescent="0.25">
      <c r="A181">
        <v>5</v>
      </c>
      <c r="B181">
        <v>778039</v>
      </c>
      <c r="C181" t="s">
        <v>3</v>
      </c>
      <c r="D181">
        <v>1916</v>
      </c>
      <c r="E181">
        <v>44166</v>
      </c>
      <c r="F181">
        <v>9580</v>
      </c>
      <c r="G181">
        <v>3832</v>
      </c>
    </row>
    <row r="182" spans="1:7" x14ac:dyDescent="0.25">
      <c r="A182">
        <v>3</v>
      </c>
      <c r="B182">
        <v>748204</v>
      </c>
      <c r="C182" t="s">
        <v>5</v>
      </c>
      <c r="D182">
        <v>1596</v>
      </c>
      <c r="E182">
        <v>44075</v>
      </c>
      <c r="F182">
        <v>9576</v>
      </c>
      <c r="G182">
        <v>4389</v>
      </c>
    </row>
    <row r="183" spans="1:7" x14ac:dyDescent="0.25">
      <c r="A183">
        <v>3</v>
      </c>
      <c r="B183">
        <v>788478</v>
      </c>
      <c r="C183" t="s">
        <v>4</v>
      </c>
      <c r="D183">
        <v>1907</v>
      </c>
      <c r="E183">
        <v>44075</v>
      </c>
      <c r="F183">
        <v>9535</v>
      </c>
      <c r="G183">
        <v>4195.4000000000005</v>
      </c>
    </row>
    <row r="184" spans="1:7" x14ac:dyDescent="0.25">
      <c r="A184">
        <v>1</v>
      </c>
      <c r="B184">
        <v>296424</v>
      </c>
      <c r="C184" t="s">
        <v>3</v>
      </c>
      <c r="D184">
        <v>1901</v>
      </c>
      <c r="E184">
        <v>43983</v>
      </c>
      <c r="F184">
        <v>9505</v>
      </c>
      <c r="G184">
        <v>3802</v>
      </c>
    </row>
    <row r="185" spans="1:7" x14ac:dyDescent="0.25">
      <c r="A185">
        <v>3</v>
      </c>
      <c r="B185">
        <v>609228</v>
      </c>
      <c r="C185" t="s">
        <v>4</v>
      </c>
      <c r="D185">
        <v>1899</v>
      </c>
      <c r="E185">
        <v>43983</v>
      </c>
      <c r="F185">
        <v>9495</v>
      </c>
      <c r="G185">
        <v>4177.8</v>
      </c>
    </row>
    <row r="186" spans="1:7" x14ac:dyDescent="0.25">
      <c r="A186">
        <v>2</v>
      </c>
      <c r="B186">
        <v>818350</v>
      </c>
      <c r="C186" t="s">
        <v>5</v>
      </c>
      <c r="D186">
        <v>1582</v>
      </c>
      <c r="E186">
        <v>44166</v>
      </c>
      <c r="F186">
        <v>9492</v>
      </c>
      <c r="G186">
        <v>4350.5</v>
      </c>
    </row>
    <row r="187" spans="1:7" x14ac:dyDescent="0.25">
      <c r="A187">
        <v>3</v>
      </c>
      <c r="B187">
        <v>355971</v>
      </c>
      <c r="C187" t="s">
        <v>5</v>
      </c>
      <c r="D187">
        <v>1579</v>
      </c>
      <c r="E187">
        <v>44044</v>
      </c>
      <c r="F187">
        <v>9474</v>
      </c>
      <c r="G187">
        <v>4342.25</v>
      </c>
    </row>
    <row r="188" spans="1:7" x14ac:dyDescent="0.25">
      <c r="A188">
        <v>1</v>
      </c>
      <c r="B188">
        <v>674043</v>
      </c>
      <c r="C188" t="s">
        <v>5</v>
      </c>
      <c r="D188">
        <v>1575</v>
      </c>
      <c r="E188">
        <v>43862</v>
      </c>
      <c r="F188">
        <v>9450</v>
      </c>
      <c r="G188">
        <v>4331.25</v>
      </c>
    </row>
    <row r="189" spans="1:7" x14ac:dyDescent="0.25">
      <c r="A189">
        <v>2</v>
      </c>
      <c r="B189">
        <v>149035</v>
      </c>
      <c r="C189" t="s">
        <v>5</v>
      </c>
      <c r="D189">
        <v>1566</v>
      </c>
      <c r="E189">
        <v>44105</v>
      </c>
      <c r="F189">
        <v>9396</v>
      </c>
      <c r="G189">
        <v>4306.5</v>
      </c>
    </row>
    <row r="190" spans="1:7" x14ac:dyDescent="0.25">
      <c r="A190">
        <v>2</v>
      </c>
      <c r="B190">
        <v>227896</v>
      </c>
      <c r="C190" t="s">
        <v>4</v>
      </c>
      <c r="D190">
        <v>1870</v>
      </c>
      <c r="E190">
        <v>43770</v>
      </c>
      <c r="F190">
        <v>9350</v>
      </c>
      <c r="G190">
        <v>4114</v>
      </c>
    </row>
    <row r="191" spans="1:7" x14ac:dyDescent="0.25">
      <c r="A191">
        <v>4</v>
      </c>
      <c r="B191">
        <v>283163</v>
      </c>
      <c r="C191" t="s">
        <v>4</v>
      </c>
      <c r="D191">
        <v>1865</v>
      </c>
      <c r="E191">
        <v>43862</v>
      </c>
      <c r="F191">
        <v>9325</v>
      </c>
      <c r="G191">
        <v>4103</v>
      </c>
    </row>
    <row r="192" spans="1:7" x14ac:dyDescent="0.25">
      <c r="A192">
        <v>1</v>
      </c>
      <c r="B192">
        <v>643742</v>
      </c>
      <c r="C192" t="s">
        <v>5</v>
      </c>
      <c r="D192">
        <v>1545</v>
      </c>
      <c r="E192">
        <v>43983</v>
      </c>
      <c r="F192">
        <v>9270</v>
      </c>
      <c r="G192">
        <v>4248.75</v>
      </c>
    </row>
    <row r="193" spans="1:7" x14ac:dyDescent="0.25">
      <c r="A193">
        <v>4</v>
      </c>
      <c r="B193">
        <v>632637</v>
      </c>
      <c r="C193" t="s">
        <v>2</v>
      </c>
      <c r="D193">
        <v>2300</v>
      </c>
      <c r="E193">
        <v>44166</v>
      </c>
      <c r="F193">
        <v>9200</v>
      </c>
      <c r="G193">
        <v>3450</v>
      </c>
    </row>
    <row r="194" spans="1:7" x14ac:dyDescent="0.25">
      <c r="A194">
        <v>4</v>
      </c>
      <c r="B194">
        <v>288662</v>
      </c>
      <c r="C194" t="s">
        <v>2</v>
      </c>
      <c r="D194">
        <v>2299</v>
      </c>
      <c r="E194">
        <v>43739</v>
      </c>
      <c r="F194">
        <v>9196</v>
      </c>
      <c r="G194">
        <v>3448.5</v>
      </c>
    </row>
    <row r="195" spans="1:7" x14ac:dyDescent="0.25">
      <c r="A195">
        <v>5</v>
      </c>
      <c r="B195">
        <v>374150</v>
      </c>
      <c r="C195" t="s">
        <v>5</v>
      </c>
      <c r="D195">
        <v>1530</v>
      </c>
      <c r="E195">
        <v>43952</v>
      </c>
      <c r="F195">
        <v>9180</v>
      </c>
      <c r="G195">
        <v>4207.5</v>
      </c>
    </row>
    <row r="196" spans="1:7" x14ac:dyDescent="0.25">
      <c r="A196">
        <v>4</v>
      </c>
      <c r="B196">
        <v>534742</v>
      </c>
      <c r="C196" t="s">
        <v>3</v>
      </c>
      <c r="D196">
        <v>1823</v>
      </c>
      <c r="E196">
        <v>44013</v>
      </c>
      <c r="F196">
        <v>9115</v>
      </c>
      <c r="G196">
        <v>3646</v>
      </c>
    </row>
    <row r="197" spans="1:7" x14ac:dyDescent="0.25">
      <c r="A197">
        <v>4</v>
      </c>
      <c r="B197">
        <v>481875</v>
      </c>
      <c r="C197" t="s">
        <v>3</v>
      </c>
      <c r="D197">
        <v>1817</v>
      </c>
      <c r="E197">
        <v>44166</v>
      </c>
      <c r="F197">
        <v>9085</v>
      </c>
      <c r="G197">
        <v>3634</v>
      </c>
    </row>
    <row r="198" spans="1:7" x14ac:dyDescent="0.25">
      <c r="A198">
        <v>4</v>
      </c>
      <c r="B198">
        <v>348194</v>
      </c>
      <c r="C198" t="s">
        <v>3</v>
      </c>
      <c r="D198">
        <v>1802</v>
      </c>
      <c r="E198">
        <v>43800</v>
      </c>
      <c r="F198">
        <v>9010</v>
      </c>
      <c r="G198">
        <v>3604</v>
      </c>
    </row>
    <row r="199" spans="1:7" x14ac:dyDescent="0.25">
      <c r="A199">
        <v>3</v>
      </c>
      <c r="B199">
        <v>625104</v>
      </c>
      <c r="C199" t="s">
        <v>5</v>
      </c>
      <c r="D199">
        <v>1498</v>
      </c>
      <c r="E199">
        <v>43983</v>
      </c>
      <c r="F199">
        <v>8988</v>
      </c>
      <c r="G199">
        <v>4119.5</v>
      </c>
    </row>
    <row r="200" spans="1:7" x14ac:dyDescent="0.25">
      <c r="A200">
        <v>2</v>
      </c>
      <c r="B200">
        <v>250308</v>
      </c>
      <c r="C200" t="s">
        <v>5</v>
      </c>
      <c r="D200">
        <v>1496</v>
      </c>
      <c r="E200">
        <v>43983</v>
      </c>
      <c r="F200">
        <v>8976</v>
      </c>
      <c r="G200">
        <v>4114</v>
      </c>
    </row>
    <row r="201" spans="1:7" x14ac:dyDescent="0.25">
      <c r="A201">
        <v>2</v>
      </c>
      <c r="B201">
        <v>616386</v>
      </c>
      <c r="C201" t="s">
        <v>5</v>
      </c>
      <c r="D201">
        <v>1493</v>
      </c>
      <c r="E201">
        <v>43831</v>
      </c>
      <c r="F201">
        <v>8958</v>
      </c>
      <c r="G201">
        <v>4105.75</v>
      </c>
    </row>
    <row r="202" spans="1:7" x14ac:dyDescent="0.25">
      <c r="A202">
        <v>1</v>
      </c>
      <c r="B202">
        <v>303687</v>
      </c>
      <c r="C202" t="s">
        <v>3</v>
      </c>
      <c r="D202">
        <v>1785</v>
      </c>
      <c r="E202">
        <v>43770</v>
      </c>
      <c r="F202">
        <v>8925</v>
      </c>
      <c r="G202">
        <v>3570</v>
      </c>
    </row>
    <row r="203" spans="1:7" x14ac:dyDescent="0.25">
      <c r="A203">
        <v>2</v>
      </c>
      <c r="B203">
        <v>733366</v>
      </c>
      <c r="C203" t="s">
        <v>4</v>
      </c>
      <c r="D203">
        <v>1778</v>
      </c>
      <c r="E203">
        <v>43800</v>
      </c>
      <c r="F203">
        <v>8890</v>
      </c>
      <c r="G203">
        <v>3911.6000000000004</v>
      </c>
    </row>
    <row r="204" spans="1:7" x14ac:dyDescent="0.25">
      <c r="A204">
        <v>3</v>
      </c>
      <c r="B204">
        <v>839631</v>
      </c>
      <c r="C204" t="s">
        <v>3</v>
      </c>
      <c r="D204">
        <v>1775</v>
      </c>
      <c r="E204">
        <v>43770</v>
      </c>
      <c r="F204">
        <v>8875</v>
      </c>
      <c r="G204">
        <v>3550</v>
      </c>
    </row>
    <row r="205" spans="1:7" x14ac:dyDescent="0.25">
      <c r="A205">
        <v>1</v>
      </c>
      <c r="B205">
        <v>779279</v>
      </c>
      <c r="C205" t="s">
        <v>3</v>
      </c>
      <c r="D205">
        <v>1774</v>
      </c>
      <c r="E205">
        <v>43891</v>
      </c>
      <c r="F205">
        <v>8870</v>
      </c>
      <c r="G205">
        <v>3548</v>
      </c>
    </row>
    <row r="206" spans="1:7" x14ac:dyDescent="0.25">
      <c r="A206">
        <v>4</v>
      </c>
      <c r="B206">
        <v>780393</v>
      </c>
      <c r="C206" t="s">
        <v>1</v>
      </c>
      <c r="D206">
        <v>2954</v>
      </c>
      <c r="E206">
        <v>43770</v>
      </c>
      <c r="F206">
        <v>8862</v>
      </c>
      <c r="G206">
        <v>3692.5</v>
      </c>
    </row>
    <row r="207" spans="1:7" x14ac:dyDescent="0.25">
      <c r="A207">
        <v>3</v>
      </c>
      <c r="B207">
        <v>786473</v>
      </c>
      <c r="C207" t="s">
        <v>4</v>
      </c>
      <c r="D207">
        <v>1770</v>
      </c>
      <c r="E207">
        <v>43800</v>
      </c>
      <c r="F207">
        <v>8850</v>
      </c>
      <c r="G207">
        <v>3894.0000000000005</v>
      </c>
    </row>
    <row r="208" spans="1:7" x14ac:dyDescent="0.25">
      <c r="A208">
        <v>4</v>
      </c>
      <c r="B208">
        <v>544855</v>
      </c>
      <c r="C208" t="s">
        <v>3</v>
      </c>
      <c r="D208">
        <v>1767</v>
      </c>
      <c r="E208">
        <v>44075</v>
      </c>
      <c r="F208">
        <v>8835</v>
      </c>
      <c r="G208">
        <v>3534</v>
      </c>
    </row>
    <row r="209" spans="1:7" x14ac:dyDescent="0.25">
      <c r="A209">
        <v>2</v>
      </c>
      <c r="B209">
        <v>856913</v>
      </c>
      <c r="C209" t="s">
        <v>1</v>
      </c>
      <c r="D209">
        <v>2935</v>
      </c>
      <c r="E209">
        <v>43770</v>
      </c>
      <c r="F209">
        <v>8805</v>
      </c>
      <c r="G209">
        <v>3668.75</v>
      </c>
    </row>
    <row r="210" spans="1:7" x14ac:dyDescent="0.25">
      <c r="A210">
        <v>1</v>
      </c>
      <c r="B210">
        <v>141665</v>
      </c>
      <c r="C210" t="s">
        <v>3</v>
      </c>
      <c r="D210">
        <v>1760</v>
      </c>
      <c r="E210">
        <v>43709</v>
      </c>
      <c r="F210">
        <v>8800</v>
      </c>
      <c r="G210">
        <v>3520</v>
      </c>
    </row>
    <row r="211" spans="1:7" x14ac:dyDescent="0.25">
      <c r="A211">
        <v>3</v>
      </c>
      <c r="B211">
        <v>464499</v>
      </c>
      <c r="C211" t="s">
        <v>5</v>
      </c>
      <c r="D211">
        <v>1465</v>
      </c>
      <c r="E211">
        <v>43891</v>
      </c>
      <c r="F211">
        <v>8790</v>
      </c>
      <c r="G211">
        <v>4028.75</v>
      </c>
    </row>
    <row r="212" spans="1:7" x14ac:dyDescent="0.25">
      <c r="A212">
        <v>4</v>
      </c>
      <c r="B212">
        <v>676135</v>
      </c>
      <c r="C212" t="s">
        <v>3</v>
      </c>
      <c r="D212">
        <v>1757</v>
      </c>
      <c r="E212">
        <v>43739</v>
      </c>
      <c r="F212">
        <v>8785</v>
      </c>
      <c r="G212">
        <v>3514</v>
      </c>
    </row>
    <row r="213" spans="1:7" x14ac:dyDescent="0.25">
      <c r="A213">
        <v>2</v>
      </c>
      <c r="B213">
        <v>310429</v>
      </c>
      <c r="C213" t="s">
        <v>2</v>
      </c>
      <c r="D213">
        <v>2181</v>
      </c>
      <c r="E213">
        <v>44105</v>
      </c>
      <c r="F213">
        <v>8724</v>
      </c>
      <c r="G213">
        <v>3271.5</v>
      </c>
    </row>
    <row r="214" spans="1:7" x14ac:dyDescent="0.25">
      <c r="A214">
        <v>2</v>
      </c>
      <c r="B214">
        <v>520865</v>
      </c>
      <c r="C214" t="s">
        <v>3</v>
      </c>
      <c r="D214">
        <v>1743</v>
      </c>
      <c r="E214">
        <v>43739</v>
      </c>
      <c r="F214">
        <v>8715</v>
      </c>
      <c r="G214">
        <v>3486</v>
      </c>
    </row>
    <row r="215" spans="1:7" x14ac:dyDescent="0.25">
      <c r="A215">
        <v>4</v>
      </c>
      <c r="B215">
        <v>796346</v>
      </c>
      <c r="C215" t="s">
        <v>3</v>
      </c>
      <c r="D215">
        <v>1743</v>
      </c>
      <c r="E215">
        <v>44044</v>
      </c>
      <c r="F215">
        <v>8715</v>
      </c>
      <c r="G215">
        <v>3486</v>
      </c>
    </row>
    <row r="216" spans="1:7" x14ac:dyDescent="0.25">
      <c r="A216">
        <v>5</v>
      </c>
      <c r="B216">
        <v>594129</v>
      </c>
      <c r="C216" t="s">
        <v>4</v>
      </c>
      <c r="D216">
        <v>1743</v>
      </c>
      <c r="E216">
        <v>43739</v>
      </c>
      <c r="F216">
        <v>8715</v>
      </c>
      <c r="G216">
        <v>3834.6000000000004</v>
      </c>
    </row>
    <row r="217" spans="1:7" x14ac:dyDescent="0.25">
      <c r="A217">
        <v>5</v>
      </c>
      <c r="B217">
        <v>649737</v>
      </c>
      <c r="C217" t="s">
        <v>2</v>
      </c>
      <c r="D217">
        <v>2178</v>
      </c>
      <c r="E217">
        <v>43983</v>
      </c>
      <c r="F217">
        <v>8712</v>
      </c>
      <c r="G217">
        <v>3267</v>
      </c>
    </row>
    <row r="218" spans="1:7" x14ac:dyDescent="0.25">
      <c r="A218">
        <v>2</v>
      </c>
      <c r="B218">
        <v>800536</v>
      </c>
      <c r="C218" t="s">
        <v>1</v>
      </c>
      <c r="D218">
        <v>2903</v>
      </c>
      <c r="E218">
        <v>43891</v>
      </c>
      <c r="F218">
        <v>8709</v>
      </c>
      <c r="G218">
        <v>3628.75</v>
      </c>
    </row>
    <row r="219" spans="1:7" x14ac:dyDescent="0.25">
      <c r="A219">
        <v>2</v>
      </c>
      <c r="B219">
        <v>429735</v>
      </c>
      <c r="C219" t="s">
        <v>3</v>
      </c>
      <c r="D219">
        <v>1731</v>
      </c>
      <c r="E219">
        <v>44105</v>
      </c>
      <c r="F219">
        <v>8655</v>
      </c>
      <c r="G219">
        <v>3462</v>
      </c>
    </row>
    <row r="220" spans="1:7" x14ac:dyDescent="0.25">
      <c r="A220">
        <v>5</v>
      </c>
      <c r="B220">
        <v>707748</v>
      </c>
      <c r="C220" t="s">
        <v>4</v>
      </c>
      <c r="D220">
        <v>1731</v>
      </c>
      <c r="E220">
        <v>44105</v>
      </c>
      <c r="F220">
        <v>8655</v>
      </c>
      <c r="G220">
        <v>3808.2000000000003</v>
      </c>
    </row>
    <row r="221" spans="1:7" x14ac:dyDescent="0.25">
      <c r="A221">
        <v>3</v>
      </c>
      <c r="B221">
        <v>365463</v>
      </c>
      <c r="C221" t="s">
        <v>3</v>
      </c>
      <c r="D221">
        <v>1728</v>
      </c>
      <c r="E221">
        <v>43952</v>
      </c>
      <c r="F221">
        <v>8640</v>
      </c>
      <c r="G221">
        <v>3456</v>
      </c>
    </row>
    <row r="222" spans="1:7" x14ac:dyDescent="0.25">
      <c r="A222">
        <v>1</v>
      </c>
      <c r="B222">
        <v>225353</v>
      </c>
      <c r="C222" t="s">
        <v>4</v>
      </c>
      <c r="D222">
        <v>1727</v>
      </c>
      <c r="E222">
        <v>43739</v>
      </c>
      <c r="F222">
        <v>8635</v>
      </c>
      <c r="G222">
        <v>3799.4</v>
      </c>
    </row>
    <row r="223" spans="1:7" x14ac:dyDescent="0.25">
      <c r="A223">
        <v>4</v>
      </c>
      <c r="B223">
        <v>439635</v>
      </c>
      <c r="C223" t="s">
        <v>1</v>
      </c>
      <c r="D223">
        <v>2877</v>
      </c>
      <c r="E223">
        <v>44105</v>
      </c>
      <c r="F223">
        <v>8631</v>
      </c>
      <c r="G223">
        <v>3596.25</v>
      </c>
    </row>
    <row r="224" spans="1:7" x14ac:dyDescent="0.25">
      <c r="A224">
        <v>4</v>
      </c>
      <c r="B224">
        <v>289811</v>
      </c>
      <c r="C224" t="s">
        <v>3</v>
      </c>
      <c r="D224">
        <v>1725</v>
      </c>
      <c r="E224">
        <v>43770</v>
      </c>
      <c r="F224">
        <v>8625</v>
      </c>
      <c r="G224">
        <v>3450</v>
      </c>
    </row>
    <row r="225" spans="1:7" x14ac:dyDescent="0.25">
      <c r="A225">
        <v>4</v>
      </c>
      <c r="B225">
        <v>694579</v>
      </c>
      <c r="C225" t="s">
        <v>2</v>
      </c>
      <c r="D225">
        <v>2156</v>
      </c>
      <c r="E225">
        <v>44105</v>
      </c>
      <c r="F225">
        <v>8624</v>
      </c>
      <c r="G225">
        <v>3234</v>
      </c>
    </row>
    <row r="226" spans="1:7" x14ac:dyDescent="0.25">
      <c r="A226">
        <v>4</v>
      </c>
      <c r="B226">
        <v>338090</v>
      </c>
      <c r="C226" t="s">
        <v>2</v>
      </c>
      <c r="D226">
        <v>2155</v>
      </c>
      <c r="E226">
        <v>44166</v>
      </c>
      <c r="F226">
        <v>8620</v>
      </c>
      <c r="G226">
        <v>3232.5</v>
      </c>
    </row>
    <row r="227" spans="1:7" x14ac:dyDescent="0.25">
      <c r="A227">
        <v>4</v>
      </c>
      <c r="B227">
        <v>403455</v>
      </c>
      <c r="C227" t="s">
        <v>2</v>
      </c>
      <c r="D227">
        <v>2145</v>
      </c>
      <c r="E227">
        <v>43770</v>
      </c>
      <c r="F227">
        <v>8580</v>
      </c>
      <c r="G227">
        <v>3217.5</v>
      </c>
    </row>
    <row r="228" spans="1:7" x14ac:dyDescent="0.25">
      <c r="A228">
        <v>2</v>
      </c>
      <c r="B228">
        <v>885201</v>
      </c>
      <c r="C228" t="s">
        <v>3</v>
      </c>
      <c r="D228">
        <v>1715</v>
      </c>
      <c r="E228">
        <v>43739</v>
      </c>
      <c r="F228">
        <v>8575</v>
      </c>
      <c r="G228">
        <v>3430</v>
      </c>
    </row>
    <row r="229" spans="1:7" x14ac:dyDescent="0.25">
      <c r="A229">
        <v>1</v>
      </c>
      <c r="B229">
        <v>632111</v>
      </c>
      <c r="C229" t="s">
        <v>1</v>
      </c>
      <c r="D229">
        <v>2844</v>
      </c>
      <c r="E229">
        <v>43862</v>
      </c>
      <c r="F229">
        <v>8532</v>
      </c>
      <c r="G229">
        <v>3555</v>
      </c>
    </row>
    <row r="230" spans="1:7" x14ac:dyDescent="0.25">
      <c r="A230">
        <v>2</v>
      </c>
      <c r="B230">
        <v>701669</v>
      </c>
      <c r="C230" t="s">
        <v>1</v>
      </c>
      <c r="D230">
        <v>2844</v>
      </c>
      <c r="E230">
        <v>43983</v>
      </c>
      <c r="F230">
        <v>8532</v>
      </c>
      <c r="G230">
        <v>3555</v>
      </c>
    </row>
    <row r="231" spans="1:7" x14ac:dyDescent="0.25">
      <c r="A231">
        <v>2</v>
      </c>
      <c r="B231">
        <v>566401</v>
      </c>
      <c r="C231" t="s">
        <v>3</v>
      </c>
      <c r="D231">
        <v>1706</v>
      </c>
      <c r="E231">
        <v>44166</v>
      </c>
      <c r="F231">
        <v>8530</v>
      </c>
      <c r="G231">
        <v>3412</v>
      </c>
    </row>
    <row r="232" spans="1:7" x14ac:dyDescent="0.25">
      <c r="A232">
        <v>2</v>
      </c>
      <c r="B232">
        <v>562718</v>
      </c>
      <c r="C232" t="s">
        <v>5</v>
      </c>
      <c r="D232">
        <v>1421</v>
      </c>
      <c r="E232">
        <v>43800</v>
      </c>
      <c r="F232">
        <v>8526</v>
      </c>
      <c r="G232">
        <v>3907.75</v>
      </c>
    </row>
    <row r="233" spans="1:7" x14ac:dyDescent="0.25">
      <c r="A233">
        <v>3</v>
      </c>
      <c r="B233">
        <v>355287</v>
      </c>
      <c r="C233" t="s">
        <v>1</v>
      </c>
      <c r="D233">
        <v>2838</v>
      </c>
      <c r="E233">
        <v>43922</v>
      </c>
      <c r="F233">
        <v>8514</v>
      </c>
      <c r="G233">
        <v>3547.5</v>
      </c>
    </row>
    <row r="234" spans="1:7" x14ac:dyDescent="0.25">
      <c r="A234">
        <v>1</v>
      </c>
      <c r="B234">
        <v>283491</v>
      </c>
      <c r="C234" t="s">
        <v>3</v>
      </c>
      <c r="D234">
        <v>1702</v>
      </c>
      <c r="E234">
        <v>43952</v>
      </c>
      <c r="F234">
        <v>8510</v>
      </c>
      <c r="G234">
        <v>3404</v>
      </c>
    </row>
    <row r="235" spans="1:7" x14ac:dyDescent="0.25">
      <c r="A235">
        <v>3</v>
      </c>
      <c r="B235">
        <v>686661</v>
      </c>
      <c r="C235" t="s">
        <v>4</v>
      </c>
      <c r="D235">
        <v>1694</v>
      </c>
      <c r="E235">
        <v>44136</v>
      </c>
      <c r="F235">
        <v>8470</v>
      </c>
      <c r="G235">
        <v>3726.8</v>
      </c>
    </row>
    <row r="236" spans="1:7" x14ac:dyDescent="0.25">
      <c r="A236">
        <v>3</v>
      </c>
      <c r="B236">
        <v>754791</v>
      </c>
      <c r="C236" t="s">
        <v>4</v>
      </c>
      <c r="D236">
        <v>1686</v>
      </c>
      <c r="E236">
        <v>44013</v>
      </c>
      <c r="F236">
        <v>8430</v>
      </c>
      <c r="G236">
        <v>3709.2000000000003</v>
      </c>
    </row>
    <row r="237" spans="1:7" x14ac:dyDescent="0.25">
      <c r="A237">
        <v>2</v>
      </c>
      <c r="B237">
        <v>363822</v>
      </c>
      <c r="C237" t="s">
        <v>1</v>
      </c>
      <c r="D237">
        <v>2807</v>
      </c>
      <c r="E237">
        <v>44044</v>
      </c>
      <c r="F237">
        <v>8421</v>
      </c>
      <c r="G237">
        <v>3508.75</v>
      </c>
    </row>
    <row r="238" spans="1:7" x14ac:dyDescent="0.25">
      <c r="A238">
        <v>3</v>
      </c>
      <c r="B238">
        <v>602865</v>
      </c>
      <c r="C238" t="s">
        <v>4</v>
      </c>
      <c r="D238">
        <v>1683</v>
      </c>
      <c r="E238">
        <v>44013</v>
      </c>
      <c r="F238">
        <v>8415</v>
      </c>
      <c r="G238">
        <v>3702.6000000000004</v>
      </c>
    </row>
    <row r="239" spans="1:7" x14ac:dyDescent="0.25">
      <c r="A239">
        <v>3</v>
      </c>
      <c r="B239">
        <v>551372</v>
      </c>
      <c r="C239" t="s">
        <v>4</v>
      </c>
      <c r="D239">
        <v>1679</v>
      </c>
      <c r="E239">
        <v>44075</v>
      </c>
      <c r="F239">
        <v>8395</v>
      </c>
      <c r="G239">
        <v>3693.8</v>
      </c>
    </row>
    <row r="240" spans="1:7" x14ac:dyDescent="0.25">
      <c r="A240">
        <v>2</v>
      </c>
      <c r="B240">
        <v>638098</v>
      </c>
      <c r="C240" t="s">
        <v>5</v>
      </c>
      <c r="D240">
        <v>1395</v>
      </c>
      <c r="E240">
        <v>44013</v>
      </c>
      <c r="F240">
        <v>8370</v>
      </c>
      <c r="G240">
        <v>3836.25</v>
      </c>
    </row>
    <row r="241" spans="1:7" x14ac:dyDescent="0.25">
      <c r="A241">
        <v>1</v>
      </c>
      <c r="B241">
        <v>665489</v>
      </c>
      <c r="C241" t="s">
        <v>4</v>
      </c>
      <c r="D241">
        <v>1659</v>
      </c>
      <c r="E241">
        <v>43831</v>
      </c>
      <c r="F241">
        <v>8295</v>
      </c>
      <c r="G241">
        <v>3649.8</v>
      </c>
    </row>
    <row r="242" spans="1:7" x14ac:dyDescent="0.25">
      <c r="A242">
        <v>5</v>
      </c>
      <c r="B242">
        <v>210209</v>
      </c>
      <c r="C242" t="s">
        <v>1</v>
      </c>
      <c r="D242">
        <v>2747</v>
      </c>
      <c r="E242">
        <v>43862</v>
      </c>
      <c r="F242">
        <v>8241</v>
      </c>
      <c r="G242">
        <v>3433.75</v>
      </c>
    </row>
    <row r="243" spans="1:7" x14ac:dyDescent="0.25">
      <c r="A243">
        <v>4</v>
      </c>
      <c r="B243">
        <v>640346</v>
      </c>
      <c r="C243" t="s">
        <v>5</v>
      </c>
      <c r="D243">
        <v>1372</v>
      </c>
      <c r="E243">
        <v>44166</v>
      </c>
      <c r="F243">
        <v>8232</v>
      </c>
      <c r="G243">
        <v>3773</v>
      </c>
    </row>
    <row r="244" spans="1:7" x14ac:dyDescent="0.25">
      <c r="A244">
        <v>3</v>
      </c>
      <c r="B244">
        <v>493427</v>
      </c>
      <c r="C244" t="s">
        <v>4</v>
      </c>
      <c r="D244">
        <v>1645</v>
      </c>
      <c r="E244">
        <v>43952</v>
      </c>
      <c r="F244">
        <v>8225</v>
      </c>
      <c r="G244">
        <v>3619.0000000000005</v>
      </c>
    </row>
    <row r="245" spans="1:7" x14ac:dyDescent="0.25">
      <c r="A245">
        <v>4</v>
      </c>
      <c r="B245">
        <v>752965</v>
      </c>
      <c r="C245" t="s">
        <v>1</v>
      </c>
      <c r="D245">
        <v>2729</v>
      </c>
      <c r="E245">
        <v>44166</v>
      </c>
      <c r="F245">
        <v>8187</v>
      </c>
      <c r="G245">
        <v>3411.25</v>
      </c>
    </row>
    <row r="246" spans="1:7" x14ac:dyDescent="0.25">
      <c r="A246">
        <v>4</v>
      </c>
      <c r="B246">
        <v>571542</v>
      </c>
      <c r="C246" t="s">
        <v>4</v>
      </c>
      <c r="D246">
        <v>1630.5</v>
      </c>
      <c r="E246">
        <v>44013</v>
      </c>
      <c r="F246">
        <v>8152.5</v>
      </c>
      <c r="G246">
        <v>3587.1000000000004</v>
      </c>
    </row>
    <row r="247" spans="1:7" x14ac:dyDescent="0.25">
      <c r="A247">
        <v>4</v>
      </c>
      <c r="B247">
        <v>768268</v>
      </c>
      <c r="C247" t="s">
        <v>2</v>
      </c>
      <c r="D247">
        <v>2030</v>
      </c>
      <c r="E247">
        <v>44136</v>
      </c>
      <c r="F247">
        <v>8120</v>
      </c>
      <c r="G247">
        <v>3045</v>
      </c>
    </row>
    <row r="248" spans="1:7" x14ac:dyDescent="0.25">
      <c r="A248">
        <v>4</v>
      </c>
      <c r="B248">
        <v>725869</v>
      </c>
      <c r="C248" t="s">
        <v>2</v>
      </c>
      <c r="D248">
        <v>2021</v>
      </c>
      <c r="E248">
        <v>44105</v>
      </c>
      <c r="F248">
        <v>8084</v>
      </c>
      <c r="G248">
        <v>3031.5</v>
      </c>
    </row>
    <row r="249" spans="1:7" x14ac:dyDescent="0.25">
      <c r="A249">
        <v>3</v>
      </c>
      <c r="B249">
        <v>216326</v>
      </c>
      <c r="C249" t="s">
        <v>3</v>
      </c>
      <c r="D249">
        <v>1614</v>
      </c>
      <c r="E249">
        <v>43922</v>
      </c>
      <c r="F249">
        <v>8070</v>
      </c>
      <c r="G249">
        <v>3228</v>
      </c>
    </row>
    <row r="250" spans="1:7" x14ac:dyDescent="0.25">
      <c r="A250">
        <v>5</v>
      </c>
      <c r="B250">
        <v>639651</v>
      </c>
      <c r="C250" t="s">
        <v>1</v>
      </c>
      <c r="D250">
        <v>2689</v>
      </c>
      <c r="E250">
        <v>44105</v>
      </c>
      <c r="F250">
        <v>8067</v>
      </c>
      <c r="G250">
        <v>3361.25</v>
      </c>
    </row>
    <row r="251" spans="1:7" x14ac:dyDescent="0.25">
      <c r="A251">
        <v>4</v>
      </c>
      <c r="B251">
        <v>750389</v>
      </c>
      <c r="C251" t="s">
        <v>1</v>
      </c>
      <c r="D251">
        <v>2682</v>
      </c>
      <c r="E251">
        <v>43770</v>
      </c>
      <c r="F251">
        <v>8046</v>
      </c>
      <c r="G251">
        <v>3352.5</v>
      </c>
    </row>
    <row r="252" spans="1:7" x14ac:dyDescent="0.25">
      <c r="A252">
        <v>1</v>
      </c>
      <c r="B252">
        <v>218291</v>
      </c>
      <c r="C252" t="s">
        <v>3</v>
      </c>
      <c r="D252">
        <v>1607</v>
      </c>
      <c r="E252">
        <v>43922</v>
      </c>
      <c r="F252">
        <v>8035</v>
      </c>
      <c r="G252">
        <v>3214</v>
      </c>
    </row>
    <row r="253" spans="1:7" x14ac:dyDescent="0.25">
      <c r="A253">
        <v>3</v>
      </c>
      <c r="B253">
        <v>169621</v>
      </c>
      <c r="C253" t="s">
        <v>5</v>
      </c>
      <c r="D253">
        <v>1333</v>
      </c>
      <c r="E253">
        <v>44136</v>
      </c>
      <c r="F253">
        <v>7998</v>
      </c>
      <c r="G253">
        <v>3665.75</v>
      </c>
    </row>
    <row r="254" spans="1:7" x14ac:dyDescent="0.25">
      <c r="A254">
        <v>3</v>
      </c>
      <c r="B254">
        <v>513469</v>
      </c>
      <c r="C254" t="s">
        <v>3</v>
      </c>
      <c r="D254">
        <v>1598</v>
      </c>
      <c r="E254">
        <v>44044</v>
      </c>
      <c r="F254">
        <v>7990</v>
      </c>
      <c r="G254">
        <v>3196</v>
      </c>
    </row>
    <row r="255" spans="1:7" x14ac:dyDescent="0.25">
      <c r="A255">
        <v>2</v>
      </c>
      <c r="B255">
        <v>774130</v>
      </c>
      <c r="C255" t="s">
        <v>1</v>
      </c>
      <c r="D255">
        <v>2663</v>
      </c>
      <c r="E255">
        <v>44166</v>
      </c>
      <c r="F255">
        <v>7989</v>
      </c>
      <c r="G255">
        <v>3328.75</v>
      </c>
    </row>
    <row r="256" spans="1:7" x14ac:dyDescent="0.25">
      <c r="A256">
        <v>5</v>
      </c>
      <c r="B256">
        <v>184366</v>
      </c>
      <c r="C256" t="s">
        <v>1</v>
      </c>
      <c r="D256">
        <v>2659</v>
      </c>
      <c r="E256">
        <v>43862</v>
      </c>
      <c r="F256">
        <v>7977</v>
      </c>
      <c r="G256">
        <v>3323.75</v>
      </c>
    </row>
    <row r="257" spans="1:7" x14ac:dyDescent="0.25">
      <c r="A257">
        <v>5</v>
      </c>
      <c r="B257">
        <v>559510</v>
      </c>
      <c r="C257" t="s">
        <v>3</v>
      </c>
      <c r="D257">
        <v>1594</v>
      </c>
      <c r="E257">
        <v>44136</v>
      </c>
      <c r="F257">
        <v>7970</v>
      </c>
      <c r="G257">
        <v>3188</v>
      </c>
    </row>
    <row r="258" spans="1:7" x14ac:dyDescent="0.25">
      <c r="A258">
        <v>4</v>
      </c>
      <c r="B258">
        <v>670662</v>
      </c>
      <c r="C258" t="s">
        <v>3</v>
      </c>
      <c r="D258">
        <v>1583</v>
      </c>
      <c r="E258">
        <v>43983</v>
      </c>
      <c r="F258">
        <v>7915</v>
      </c>
      <c r="G258">
        <v>3166</v>
      </c>
    </row>
    <row r="259" spans="1:7" x14ac:dyDescent="0.25">
      <c r="A259">
        <v>3</v>
      </c>
      <c r="B259">
        <v>365552</v>
      </c>
      <c r="C259" t="s">
        <v>3</v>
      </c>
      <c r="D259">
        <v>1570</v>
      </c>
      <c r="E259">
        <v>43983</v>
      </c>
      <c r="F259">
        <v>7850</v>
      </c>
      <c r="G259">
        <v>3140</v>
      </c>
    </row>
    <row r="260" spans="1:7" x14ac:dyDescent="0.25">
      <c r="A260">
        <v>4</v>
      </c>
      <c r="B260">
        <v>696979</v>
      </c>
      <c r="C260" t="s">
        <v>5</v>
      </c>
      <c r="D260">
        <v>1307</v>
      </c>
      <c r="E260">
        <v>44013</v>
      </c>
      <c r="F260">
        <v>7842</v>
      </c>
      <c r="G260">
        <v>3594.25</v>
      </c>
    </row>
    <row r="261" spans="1:7" x14ac:dyDescent="0.25">
      <c r="A261">
        <v>5</v>
      </c>
      <c r="B261">
        <v>626543</v>
      </c>
      <c r="C261" t="s">
        <v>3</v>
      </c>
      <c r="D261">
        <v>1565</v>
      </c>
      <c r="E261">
        <v>44105</v>
      </c>
      <c r="F261">
        <v>7825</v>
      </c>
      <c r="G261">
        <v>3130</v>
      </c>
    </row>
    <row r="262" spans="1:7" x14ac:dyDescent="0.25">
      <c r="A262">
        <v>3</v>
      </c>
      <c r="B262">
        <v>863607</v>
      </c>
      <c r="C262" t="s">
        <v>2</v>
      </c>
      <c r="D262">
        <v>1947</v>
      </c>
      <c r="E262">
        <v>44075</v>
      </c>
      <c r="F262">
        <v>7788</v>
      </c>
      <c r="G262">
        <v>2920.5</v>
      </c>
    </row>
    <row r="263" spans="1:7" x14ac:dyDescent="0.25">
      <c r="A263">
        <v>1</v>
      </c>
      <c r="B263">
        <v>241164</v>
      </c>
      <c r="C263" t="s">
        <v>2</v>
      </c>
      <c r="D263">
        <v>1937</v>
      </c>
      <c r="E263">
        <v>43862</v>
      </c>
      <c r="F263">
        <v>7748</v>
      </c>
      <c r="G263">
        <v>2905.5</v>
      </c>
    </row>
    <row r="264" spans="1:7" x14ac:dyDescent="0.25">
      <c r="A264">
        <v>2</v>
      </c>
      <c r="B264">
        <v>384410</v>
      </c>
      <c r="C264" t="s">
        <v>1</v>
      </c>
      <c r="D264">
        <v>2567</v>
      </c>
      <c r="E264">
        <v>43983</v>
      </c>
      <c r="F264">
        <v>7701</v>
      </c>
      <c r="G264">
        <v>3208.75</v>
      </c>
    </row>
    <row r="265" spans="1:7" x14ac:dyDescent="0.25">
      <c r="A265">
        <v>3</v>
      </c>
      <c r="B265">
        <v>293863</v>
      </c>
      <c r="C265" t="s">
        <v>3</v>
      </c>
      <c r="D265">
        <v>1535</v>
      </c>
      <c r="E265">
        <v>44075</v>
      </c>
      <c r="F265">
        <v>7675</v>
      </c>
      <c r="G265">
        <v>3070</v>
      </c>
    </row>
    <row r="266" spans="1:7" x14ac:dyDescent="0.25">
      <c r="A266">
        <v>3</v>
      </c>
      <c r="B266">
        <v>143923</v>
      </c>
      <c r="C266" t="s">
        <v>3</v>
      </c>
      <c r="D266">
        <v>1531</v>
      </c>
      <c r="E266">
        <v>44166</v>
      </c>
      <c r="F266">
        <v>7655</v>
      </c>
      <c r="G266">
        <v>3062</v>
      </c>
    </row>
    <row r="267" spans="1:7" x14ac:dyDescent="0.25">
      <c r="A267">
        <v>3</v>
      </c>
      <c r="B267">
        <v>444518</v>
      </c>
      <c r="C267" t="s">
        <v>1</v>
      </c>
      <c r="D267">
        <v>2541</v>
      </c>
      <c r="E267">
        <v>44044</v>
      </c>
      <c r="F267">
        <v>7623</v>
      </c>
      <c r="G267">
        <v>3176.25</v>
      </c>
    </row>
    <row r="268" spans="1:7" x14ac:dyDescent="0.25">
      <c r="A268">
        <v>3</v>
      </c>
      <c r="B268">
        <v>447945</v>
      </c>
      <c r="C268" t="s">
        <v>5</v>
      </c>
      <c r="D268">
        <v>1269</v>
      </c>
      <c r="E268">
        <v>44105</v>
      </c>
      <c r="F268">
        <v>7614</v>
      </c>
      <c r="G268">
        <v>3489.75</v>
      </c>
    </row>
    <row r="269" spans="1:7" x14ac:dyDescent="0.25">
      <c r="A269">
        <v>5</v>
      </c>
      <c r="B269">
        <v>872307</v>
      </c>
      <c r="C269" t="s">
        <v>4</v>
      </c>
      <c r="D269">
        <v>1520</v>
      </c>
      <c r="E269">
        <v>44136</v>
      </c>
      <c r="F269">
        <v>7600</v>
      </c>
      <c r="G269">
        <v>3344.0000000000005</v>
      </c>
    </row>
    <row r="270" spans="1:7" x14ac:dyDescent="0.25">
      <c r="A270">
        <v>2</v>
      </c>
      <c r="B270">
        <v>820943</v>
      </c>
      <c r="C270" t="s">
        <v>1</v>
      </c>
      <c r="D270">
        <v>2529</v>
      </c>
      <c r="E270">
        <v>44136</v>
      </c>
      <c r="F270">
        <v>7587</v>
      </c>
      <c r="G270">
        <v>3161.25</v>
      </c>
    </row>
    <row r="271" spans="1:7" x14ac:dyDescent="0.25">
      <c r="A271">
        <v>3</v>
      </c>
      <c r="B271">
        <v>636371</v>
      </c>
      <c r="C271" t="s">
        <v>5</v>
      </c>
      <c r="D271">
        <v>1262</v>
      </c>
      <c r="E271">
        <v>43952</v>
      </c>
      <c r="F271">
        <v>7572</v>
      </c>
      <c r="G271">
        <v>3470.5</v>
      </c>
    </row>
    <row r="272" spans="1:7" x14ac:dyDescent="0.25">
      <c r="A272">
        <v>3</v>
      </c>
      <c r="B272">
        <v>538134</v>
      </c>
      <c r="C272" t="s">
        <v>3</v>
      </c>
      <c r="D272">
        <v>1514</v>
      </c>
      <c r="E272">
        <v>43739</v>
      </c>
      <c r="F272">
        <v>7570</v>
      </c>
      <c r="G272">
        <v>3028</v>
      </c>
    </row>
    <row r="273" spans="1:7" x14ac:dyDescent="0.25">
      <c r="A273">
        <v>3</v>
      </c>
      <c r="B273">
        <v>562219</v>
      </c>
      <c r="C273" t="s">
        <v>3</v>
      </c>
      <c r="D273">
        <v>1514</v>
      </c>
      <c r="E273">
        <v>43862</v>
      </c>
      <c r="F273">
        <v>7570</v>
      </c>
      <c r="G273">
        <v>3028</v>
      </c>
    </row>
    <row r="274" spans="1:7" x14ac:dyDescent="0.25">
      <c r="A274">
        <v>3</v>
      </c>
      <c r="B274">
        <v>183251</v>
      </c>
      <c r="C274" t="s">
        <v>3</v>
      </c>
      <c r="D274">
        <v>1513</v>
      </c>
      <c r="E274">
        <v>44166</v>
      </c>
      <c r="F274">
        <v>7565</v>
      </c>
      <c r="G274">
        <v>3026</v>
      </c>
    </row>
    <row r="275" spans="1:7" x14ac:dyDescent="0.25">
      <c r="A275">
        <v>1</v>
      </c>
      <c r="B275">
        <v>572044</v>
      </c>
      <c r="C275" t="s">
        <v>2</v>
      </c>
      <c r="D275">
        <v>1884</v>
      </c>
      <c r="E275">
        <v>44044</v>
      </c>
      <c r="F275">
        <v>7536</v>
      </c>
      <c r="G275">
        <v>2826</v>
      </c>
    </row>
    <row r="276" spans="1:7" x14ac:dyDescent="0.25">
      <c r="A276">
        <v>2</v>
      </c>
      <c r="B276">
        <v>553803</v>
      </c>
      <c r="C276" t="s">
        <v>5</v>
      </c>
      <c r="D276">
        <v>1250</v>
      </c>
      <c r="E276">
        <v>44166</v>
      </c>
      <c r="F276">
        <v>7500</v>
      </c>
      <c r="G276">
        <v>3437.5</v>
      </c>
    </row>
    <row r="277" spans="1:7" x14ac:dyDescent="0.25">
      <c r="A277">
        <v>3</v>
      </c>
      <c r="B277">
        <v>568366</v>
      </c>
      <c r="C277" t="s">
        <v>3</v>
      </c>
      <c r="D277">
        <v>1496</v>
      </c>
      <c r="E277">
        <v>43983</v>
      </c>
      <c r="F277">
        <v>7480</v>
      </c>
      <c r="G277">
        <v>2992</v>
      </c>
    </row>
    <row r="278" spans="1:7" x14ac:dyDescent="0.25">
      <c r="A278">
        <v>5</v>
      </c>
      <c r="B278">
        <v>792599</v>
      </c>
      <c r="C278" t="s">
        <v>1</v>
      </c>
      <c r="D278">
        <v>2487</v>
      </c>
      <c r="E278">
        <v>44166</v>
      </c>
      <c r="F278">
        <v>7461</v>
      </c>
      <c r="G278">
        <v>3108.75</v>
      </c>
    </row>
    <row r="279" spans="1:7" x14ac:dyDescent="0.25">
      <c r="A279">
        <v>3</v>
      </c>
      <c r="B279">
        <v>449939</v>
      </c>
      <c r="C279" t="s">
        <v>2</v>
      </c>
      <c r="D279">
        <v>1865</v>
      </c>
      <c r="E279">
        <v>43862</v>
      </c>
      <c r="F279">
        <v>7460</v>
      </c>
      <c r="G279">
        <v>2797.5</v>
      </c>
    </row>
    <row r="280" spans="1:7" x14ac:dyDescent="0.25">
      <c r="A280">
        <v>2</v>
      </c>
      <c r="B280">
        <v>444395</v>
      </c>
      <c r="C280" t="s">
        <v>1</v>
      </c>
      <c r="D280">
        <v>2479</v>
      </c>
      <c r="E280">
        <v>43831</v>
      </c>
      <c r="F280">
        <v>7437</v>
      </c>
      <c r="G280">
        <v>3098.75</v>
      </c>
    </row>
    <row r="281" spans="1:7" x14ac:dyDescent="0.25">
      <c r="A281">
        <v>3</v>
      </c>
      <c r="B281">
        <v>161388</v>
      </c>
      <c r="C281" t="s">
        <v>2</v>
      </c>
      <c r="D281">
        <v>1858</v>
      </c>
      <c r="E281">
        <v>43862</v>
      </c>
      <c r="F281">
        <v>7432</v>
      </c>
      <c r="G281">
        <v>2787</v>
      </c>
    </row>
    <row r="282" spans="1:7" x14ac:dyDescent="0.25">
      <c r="A282">
        <v>4</v>
      </c>
      <c r="B282">
        <v>119027</v>
      </c>
      <c r="C282" t="s">
        <v>2</v>
      </c>
      <c r="D282">
        <v>1834</v>
      </c>
      <c r="E282">
        <v>43709</v>
      </c>
      <c r="F282">
        <v>7336</v>
      </c>
      <c r="G282">
        <v>2751</v>
      </c>
    </row>
    <row r="283" spans="1:7" x14ac:dyDescent="0.25">
      <c r="A283">
        <v>3</v>
      </c>
      <c r="B283">
        <v>669715</v>
      </c>
      <c r="C283" t="s">
        <v>5</v>
      </c>
      <c r="D283">
        <v>1221</v>
      </c>
      <c r="E283">
        <v>43739</v>
      </c>
      <c r="F283">
        <v>7326</v>
      </c>
      <c r="G283">
        <v>3357.75</v>
      </c>
    </row>
    <row r="284" spans="1:7" x14ac:dyDescent="0.25">
      <c r="A284">
        <v>5</v>
      </c>
      <c r="B284">
        <v>562962</v>
      </c>
      <c r="C284" t="s">
        <v>1</v>
      </c>
      <c r="D284">
        <v>2436</v>
      </c>
      <c r="E284">
        <v>43800</v>
      </c>
      <c r="F284">
        <v>7308</v>
      </c>
      <c r="G284">
        <v>3045</v>
      </c>
    </row>
    <row r="285" spans="1:7" x14ac:dyDescent="0.25">
      <c r="A285">
        <v>3</v>
      </c>
      <c r="B285">
        <v>710711</v>
      </c>
      <c r="C285" t="s">
        <v>3</v>
      </c>
      <c r="D285">
        <v>1438.5</v>
      </c>
      <c r="E285">
        <v>43831</v>
      </c>
      <c r="F285">
        <v>7192.5</v>
      </c>
      <c r="G285">
        <v>2877</v>
      </c>
    </row>
    <row r="286" spans="1:7" x14ac:dyDescent="0.25">
      <c r="A286">
        <v>3</v>
      </c>
      <c r="B286">
        <v>821698</v>
      </c>
      <c r="C286" t="s">
        <v>4</v>
      </c>
      <c r="D286">
        <v>1433</v>
      </c>
      <c r="E286">
        <v>43952</v>
      </c>
      <c r="F286">
        <v>7165</v>
      </c>
      <c r="G286">
        <v>3152.6000000000004</v>
      </c>
    </row>
    <row r="287" spans="1:7" x14ac:dyDescent="0.25">
      <c r="A287">
        <v>2</v>
      </c>
      <c r="B287">
        <v>601126</v>
      </c>
      <c r="C287" t="s">
        <v>1</v>
      </c>
      <c r="D287">
        <v>2387</v>
      </c>
      <c r="E287">
        <v>44136</v>
      </c>
      <c r="F287">
        <v>7161</v>
      </c>
      <c r="G287">
        <v>2983.75</v>
      </c>
    </row>
    <row r="288" spans="1:7" x14ac:dyDescent="0.25">
      <c r="A288">
        <v>3</v>
      </c>
      <c r="B288">
        <v>317699</v>
      </c>
      <c r="C288" t="s">
        <v>2</v>
      </c>
      <c r="D288">
        <v>1790</v>
      </c>
      <c r="E288">
        <v>43891</v>
      </c>
      <c r="F288">
        <v>7160</v>
      </c>
      <c r="G288">
        <v>2685</v>
      </c>
    </row>
    <row r="289" spans="1:7" x14ac:dyDescent="0.25">
      <c r="A289">
        <v>3</v>
      </c>
      <c r="B289">
        <v>168032</v>
      </c>
      <c r="C289" t="s">
        <v>5</v>
      </c>
      <c r="D289">
        <v>1190</v>
      </c>
      <c r="E289">
        <v>43983</v>
      </c>
      <c r="F289">
        <v>7140</v>
      </c>
      <c r="G289">
        <v>3272.5</v>
      </c>
    </row>
    <row r="290" spans="1:7" x14ac:dyDescent="0.25">
      <c r="A290">
        <v>4</v>
      </c>
      <c r="B290">
        <v>595670</v>
      </c>
      <c r="C290" t="s">
        <v>3</v>
      </c>
      <c r="D290">
        <v>1414.5</v>
      </c>
      <c r="E290">
        <v>43922</v>
      </c>
      <c r="F290">
        <v>7072.5</v>
      </c>
      <c r="G290">
        <v>2829</v>
      </c>
    </row>
    <row r="291" spans="1:7" x14ac:dyDescent="0.25">
      <c r="A291">
        <v>1</v>
      </c>
      <c r="B291">
        <v>345233</v>
      </c>
      <c r="C291" t="s">
        <v>2</v>
      </c>
      <c r="D291">
        <v>1761</v>
      </c>
      <c r="E291">
        <v>43891</v>
      </c>
      <c r="F291">
        <v>7044</v>
      </c>
      <c r="G291">
        <v>2641.5</v>
      </c>
    </row>
    <row r="292" spans="1:7" x14ac:dyDescent="0.25">
      <c r="A292">
        <v>3</v>
      </c>
      <c r="B292">
        <v>521535</v>
      </c>
      <c r="C292" t="s">
        <v>3</v>
      </c>
      <c r="D292">
        <v>1404</v>
      </c>
      <c r="E292">
        <v>43770</v>
      </c>
      <c r="F292">
        <v>7020</v>
      </c>
      <c r="G292">
        <v>2808</v>
      </c>
    </row>
    <row r="293" spans="1:7" x14ac:dyDescent="0.25">
      <c r="A293">
        <v>3</v>
      </c>
      <c r="B293">
        <v>504962</v>
      </c>
      <c r="C293" t="s">
        <v>4</v>
      </c>
      <c r="D293">
        <v>1403</v>
      </c>
      <c r="E293">
        <v>43739</v>
      </c>
      <c r="F293">
        <v>7015</v>
      </c>
      <c r="G293">
        <v>3086.6000000000004</v>
      </c>
    </row>
    <row r="294" spans="1:7" x14ac:dyDescent="0.25">
      <c r="A294">
        <v>3</v>
      </c>
      <c r="B294">
        <v>406234</v>
      </c>
      <c r="C294" t="s">
        <v>1</v>
      </c>
      <c r="D294">
        <v>2338</v>
      </c>
      <c r="E294">
        <v>43983</v>
      </c>
      <c r="F294">
        <v>7014</v>
      </c>
      <c r="G294">
        <v>2922.5</v>
      </c>
    </row>
    <row r="295" spans="1:7" x14ac:dyDescent="0.25">
      <c r="A295">
        <v>3</v>
      </c>
      <c r="B295">
        <v>759484</v>
      </c>
      <c r="C295" t="s">
        <v>2</v>
      </c>
      <c r="D295">
        <v>1743</v>
      </c>
      <c r="E295">
        <v>43952</v>
      </c>
      <c r="F295">
        <v>6972</v>
      </c>
      <c r="G295">
        <v>2614.5</v>
      </c>
    </row>
    <row r="296" spans="1:7" x14ac:dyDescent="0.25">
      <c r="A296">
        <v>2</v>
      </c>
      <c r="B296">
        <v>158597</v>
      </c>
      <c r="C296" t="s">
        <v>3</v>
      </c>
      <c r="D296">
        <v>1393</v>
      </c>
      <c r="E296">
        <v>44105</v>
      </c>
      <c r="F296">
        <v>6965</v>
      </c>
      <c r="G296">
        <v>2786</v>
      </c>
    </row>
    <row r="297" spans="1:7" x14ac:dyDescent="0.25">
      <c r="A297">
        <v>3</v>
      </c>
      <c r="B297">
        <v>540063</v>
      </c>
      <c r="C297" t="s">
        <v>4</v>
      </c>
      <c r="D297">
        <v>1393</v>
      </c>
      <c r="E297">
        <v>44105</v>
      </c>
      <c r="F297">
        <v>6965</v>
      </c>
      <c r="G297">
        <v>3064.6000000000004</v>
      </c>
    </row>
    <row r="298" spans="1:7" x14ac:dyDescent="0.25">
      <c r="A298">
        <v>3</v>
      </c>
      <c r="B298">
        <v>691331</v>
      </c>
      <c r="C298" t="s">
        <v>3</v>
      </c>
      <c r="D298">
        <v>1389</v>
      </c>
      <c r="E298">
        <v>43739</v>
      </c>
      <c r="F298">
        <v>6945</v>
      </c>
      <c r="G298">
        <v>2778</v>
      </c>
    </row>
    <row r="299" spans="1:7" x14ac:dyDescent="0.25">
      <c r="A299">
        <v>1</v>
      </c>
      <c r="B299">
        <v>872775</v>
      </c>
      <c r="C299" t="s">
        <v>1</v>
      </c>
      <c r="D299">
        <v>2297</v>
      </c>
      <c r="E299">
        <v>43770</v>
      </c>
      <c r="F299">
        <v>6891</v>
      </c>
      <c r="G299">
        <v>2871.25</v>
      </c>
    </row>
    <row r="300" spans="1:7" x14ac:dyDescent="0.25">
      <c r="A300">
        <v>2</v>
      </c>
      <c r="B300">
        <v>540189</v>
      </c>
      <c r="C300" t="s">
        <v>1</v>
      </c>
      <c r="D300">
        <v>2294</v>
      </c>
      <c r="E300">
        <v>43739</v>
      </c>
      <c r="F300">
        <v>6882</v>
      </c>
      <c r="G300">
        <v>2867.5</v>
      </c>
    </row>
    <row r="301" spans="1:7" x14ac:dyDescent="0.25">
      <c r="A301">
        <v>4</v>
      </c>
      <c r="B301">
        <v>545954</v>
      </c>
      <c r="C301" t="s">
        <v>4</v>
      </c>
      <c r="D301">
        <v>1375</v>
      </c>
      <c r="E301">
        <v>43800</v>
      </c>
      <c r="F301">
        <v>6875</v>
      </c>
      <c r="G301">
        <v>3025.0000000000005</v>
      </c>
    </row>
    <row r="302" spans="1:7" x14ac:dyDescent="0.25">
      <c r="A302">
        <v>1</v>
      </c>
      <c r="B302">
        <v>631270</v>
      </c>
      <c r="C302" t="s">
        <v>3</v>
      </c>
      <c r="D302">
        <v>1372</v>
      </c>
      <c r="E302">
        <v>43831</v>
      </c>
      <c r="F302">
        <v>6860</v>
      </c>
      <c r="G302">
        <v>2744</v>
      </c>
    </row>
    <row r="303" spans="1:7" x14ac:dyDescent="0.25">
      <c r="A303">
        <v>5</v>
      </c>
      <c r="B303">
        <v>560670</v>
      </c>
      <c r="C303" t="s">
        <v>4</v>
      </c>
      <c r="D303">
        <v>1372</v>
      </c>
      <c r="E303">
        <v>44166</v>
      </c>
      <c r="F303">
        <v>6860</v>
      </c>
      <c r="G303">
        <v>3018.4</v>
      </c>
    </row>
    <row r="304" spans="1:7" x14ac:dyDescent="0.25">
      <c r="A304">
        <v>4</v>
      </c>
      <c r="B304">
        <v>713958</v>
      </c>
      <c r="C304" t="s">
        <v>3</v>
      </c>
      <c r="D304">
        <v>1369.5</v>
      </c>
      <c r="E304">
        <v>44013</v>
      </c>
      <c r="F304">
        <v>6847.5</v>
      </c>
      <c r="G304">
        <v>2739</v>
      </c>
    </row>
    <row r="305" spans="1:7" x14ac:dyDescent="0.25">
      <c r="A305">
        <v>3</v>
      </c>
      <c r="B305">
        <v>418690</v>
      </c>
      <c r="C305" t="s">
        <v>3</v>
      </c>
      <c r="D305">
        <v>1366</v>
      </c>
      <c r="E305">
        <v>43983</v>
      </c>
      <c r="F305">
        <v>6830</v>
      </c>
      <c r="G305">
        <v>2732</v>
      </c>
    </row>
    <row r="306" spans="1:7" x14ac:dyDescent="0.25">
      <c r="A306">
        <v>3</v>
      </c>
      <c r="B306">
        <v>277131</v>
      </c>
      <c r="C306" t="s">
        <v>4</v>
      </c>
      <c r="D306">
        <v>1366</v>
      </c>
      <c r="E306">
        <v>43983</v>
      </c>
      <c r="F306">
        <v>6830</v>
      </c>
      <c r="G306">
        <v>3005.2000000000003</v>
      </c>
    </row>
    <row r="307" spans="1:7" x14ac:dyDescent="0.25">
      <c r="A307">
        <v>3</v>
      </c>
      <c r="B307">
        <v>781275</v>
      </c>
      <c r="C307" t="s">
        <v>3</v>
      </c>
      <c r="D307">
        <v>1366</v>
      </c>
      <c r="E307">
        <v>44136</v>
      </c>
      <c r="F307">
        <v>6830</v>
      </c>
      <c r="G307">
        <v>2732</v>
      </c>
    </row>
    <row r="308" spans="1:7" x14ac:dyDescent="0.25">
      <c r="A308">
        <v>3</v>
      </c>
      <c r="B308">
        <v>223911</v>
      </c>
      <c r="C308" t="s">
        <v>5</v>
      </c>
      <c r="D308">
        <v>1135</v>
      </c>
      <c r="E308">
        <v>43983</v>
      </c>
      <c r="F308">
        <v>6810</v>
      </c>
      <c r="G308">
        <v>3121.25</v>
      </c>
    </row>
    <row r="309" spans="1:7" x14ac:dyDescent="0.25">
      <c r="A309">
        <v>5</v>
      </c>
      <c r="B309">
        <v>816536</v>
      </c>
      <c r="C309" t="s">
        <v>3</v>
      </c>
      <c r="D309">
        <v>1362</v>
      </c>
      <c r="E309">
        <v>44166</v>
      </c>
      <c r="F309">
        <v>6810</v>
      </c>
      <c r="G309">
        <v>2724</v>
      </c>
    </row>
    <row r="310" spans="1:7" x14ac:dyDescent="0.25">
      <c r="A310">
        <v>2</v>
      </c>
      <c r="B310">
        <v>259455</v>
      </c>
      <c r="C310" t="s">
        <v>3</v>
      </c>
      <c r="D310">
        <v>1359</v>
      </c>
      <c r="E310">
        <v>44136</v>
      </c>
      <c r="F310">
        <v>6795</v>
      </c>
      <c r="G310">
        <v>2718</v>
      </c>
    </row>
    <row r="311" spans="1:7" x14ac:dyDescent="0.25">
      <c r="A311">
        <v>3</v>
      </c>
      <c r="B311">
        <v>357838</v>
      </c>
      <c r="C311" t="s">
        <v>4</v>
      </c>
      <c r="D311">
        <v>1350</v>
      </c>
      <c r="E311">
        <v>43862</v>
      </c>
      <c r="F311">
        <v>6750</v>
      </c>
      <c r="G311">
        <v>2970.0000000000005</v>
      </c>
    </row>
    <row r="312" spans="1:7" x14ac:dyDescent="0.25">
      <c r="A312">
        <v>1</v>
      </c>
      <c r="B312">
        <v>594463</v>
      </c>
      <c r="C312" t="s">
        <v>1</v>
      </c>
      <c r="D312">
        <v>2234</v>
      </c>
      <c r="E312">
        <v>43709</v>
      </c>
      <c r="F312">
        <v>6702</v>
      </c>
      <c r="G312">
        <v>2792.5</v>
      </c>
    </row>
    <row r="313" spans="1:7" x14ac:dyDescent="0.25">
      <c r="A313">
        <v>5</v>
      </c>
      <c r="B313">
        <v>899556</v>
      </c>
      <c r="C313" t="s">
        <v>1</v>
      </c>
      <c r="D313">
        <v>2215</v>
      </c>
      <c r="E313">
        <v>43709</v>
      </c>
      <c r="F313">
        <v>6645</v>
      </c>
      <c r="G313">
        <v>2768.75</v>
      </c>
    </row>
    <row r="314" spans="1:7" x14ac:dyDescent="0.25">
      <c r="A314">
        <v>2</v>
      </c>
      <c r="B314">
        <v>205484</v>
      </c>
      <c r="C314" t="s">
        <v>3</v>
      </c>
      <c r="D314">
        <v>1324</v>
      </c>
      <c r="E314">
        <v>44136</v>
      </c>
      <c r="F314">
        <v>6620</v>
      </c>
      <c r="G314">
        <v>2648</v>
      </c>
    </row>
    <row r="315" spans="1:7" x14ac:dyDescent="0.25">
      <c r="A315">
        <v>2</v>
      </c>
      <c r="B315">
        <v>246621</v>
      </c>
      <c r="C315" t="s">
        <v>1</v>
      </c>
      <c r="D315">
        <v>2178</v>
      </c>
      <c r="E315">
        <v>43983</v>
      </c>
      <c r="F315">
        <v>6534</v>
      </c>
      <c r="G315">
        <v>2722.5</v>
      </c>
    </row>
    <row r="316" spans="1:7" x14ac:dyDescent="0.25">
      <c r="A316">
        <v>1</v>
      </c>
      <c r="B316">
        <v>144559</v>
      </c>
      <c r="C316" t="s">
        <v>1</v>
      </c>
      <c r="D316">
        <v>2177</v>
      </c>
      <c r="E316">
        <v>44105</v>
      </c>
      <c r="F316">
        <v>6531</v>
      </c>
      <c r="G316">
        <v>2721.25</v>
      </c>
    </row>
    <row r="317" spans="1:7" x14ac:dyDescent="0.25">
      <c r="A317">
        <v>5</v>
      </c>
      <c r="B317">
        <v>833644</v>
      </c>
      <c r="C317" t="s">
        <v>3</v>
      </c>
      <c r="D317">
        <v>1303</v>
      </c>
      <c r="E317">
        <v>43862</v>
      </c>
      <c r="F317">
        <v>6515</v>
      </c>
      <c r="G317">
        <v>2606</v>
      </c>
    </row>
    <row r="318" spans="1:7" x14ac:dyDescent="0.25">
      <c r="A318">
        <v>2</v>
      </c>
      <c r="B318">
        <v>765978</v>
      </c>
      <c r="C318" t="s">
        <v>5</v>
      </c>
      <c r="D318">
        <v>1084</v>
      </c>
      <c r="E318">
        <v>44166</v>
      </c>
      <c r="F318">
        <v>6504</v>
      </c>
      <c r="G318">
        <v>2981</v>
      </c>
    </row>
    <row r="319" spans="1:7" x14ac:dyDescent="0.25">
      <c r="A319">
        <v>5</v>
      </c>
      <c r="B319">
        <v>823956</v>
      </c>
      <c r="C319" t="s">
        <v>1</v>
      </c>
      <c r="D319">
        <v>2167</v>
      </c>
      <c r="E319">
        <v>43739</v>
      </c>
      <c r="F319">
        <v>6501</v>
      </c>
      <c r="G319">
        <v>2708.75</v>
      </c>
    </row>
    <row r="320" spans="1:7" x14ac:dyDescent="0.25">
      <c r="A320">
        <v>4</v>
      </c>
      <c r="B320">
        <v>776532</v>
      </c>
      <c r="C320" t="s">
        <v>3</v>
      </c>
      <c r="D320">
        <v>1295</v>
      </c>
      <c r="E320">
        <v>44105</v>
      </c>
      <c r="F320">
        <v>6475</v>
      </c>
      <c r="G320">
        <v>2590</v>
      </c>
    </row>
    <row r="321" spans="1:7" x14ac:dyDescent="0.25">
      <c r="A321">
        <v>1</v>
      </c>
      <c r="B321">
        <v>194906</v>
      </c>
      <c r="C321" t="s">
        <v>2</v>
      </c>
      <c r="D321">
        <v>1618.5</v>
      </c>
      <c r="E321">
        <v>43831</v>
      </c>
      <c r="F321">
        <v>6474</v>
      </c>
      <c r="G321">
        <v>2427.75</v>
      </c>
    </row>
    <row r="322" spans="1:7" x14ac:dyDescent="0.25">
      <c r="A322">
        <v>5</v>
      </c>
      <c r="B322">
        <v>505496</v>
      </c>
      <c r="C322" t="s">
        <v>1</v>
      </c>
      <c r="D322">
        <v>2151</v>
      </c>
      <c r="E322">
        <v>44075</v>
      </c>
      <c r="F322">
        <v>6453</v>
      </c>
      <c r="G322">
        <v>2688.75</v>
      </c>
    </row>
    <row r="323" spans="1:7" x14ac:dyDescent="0.25">
      <c r="A323">
        <v>2</v>
      </c>
      <c r="B323">
        <v>455780</v>
      </c>
      <c r="C323" t="s">
        <v>3</v>
      </c>
      <c r="D323">
        <v>1287</v>
      </c>
      <c r="E323">
        <v>44166</v>
      </c>
      <c r="F323">
        <v>6435</v>
      </c>
      <c r="G323">
        <v>2574</v>
      </c>
    </row>
    <row r="324" spans="1:7" x14ac:dyDescent="0.25">
      <c r="A324">
        <v>3</v>
      </c>
      <c r="B324">
        <v>786700</v>
      </c>
      <c r="C324" t="s">
        <v>4</v>
      </c>
      <c r="D324">
        <v>1282</v>
      </c>
      <c r="E324">
        <v>43983</v>
      </c>
      <c r="F324">
        <v>6410</v>
      </c>
      <c r="G324">
        <v>2820.4</v>
      </c>
    </row>
    <row r="325" spans="1:7" x14ac:dyDescent="0.25">
      <c r="A325">
        <v>4</v>
      </c>
      <c r="B325">
        <v>711362</v>
      </c>
      <c r="C325" t="s">
        <v>1</v>
      </c>
      <c r="D325">
        <v>2134</v>
      </c>
      <c r="E325">
        <v>44075</v>
      </c>
      <c r="F325">
        <v>6402</v>
      </c>
      <c r="G325">
        <v>2667.5</v>
      </c>
    </row>
    <row r="326" spans="1:7" x14ac:dyDescent="0.25">
      <c r="A326">
        <v>4</v>
      </c>
      <c r="B326">
        <v>131700</v>
      </c>
      <c r="C326" t="s">
        <v>4</v>
      </c>
      <c r="D326">
        <v>1269</v>
      </c>
      <c r="E326">
        <v>44105</v>
      </c>
      <c r="F326">
        <v>6345</v>
      </c>
      <c r="G326">
        <v>2791.8</v>
      </c>
    </row>
    <row r="327" spans="1:7" x14ac:dyDescent="0.25">
      <c r="A327">
        <v>3</v>
      </c>
      <c r="B327">
        <v>367956</v>
      </c>
      <c r="C327" t="s">
        <v>5</v>
      </c>
      <c r="D327">
        <v>1055</v>
      </c>
      <c r="E327">
        <v>44166</v>
      </c>
      <c r="F327">
        <v>6330</v>
      </c>
      <c r="G327">
        <v>2901.25</v>
      </c>
    </row>
    <row r="328" spans="1:7" x14ac:dyDescent="0.25">
      <c r="A328">
        <v>2</v>
      </c>
      <c r="B328">
        <v>644843</v>
      </c>
      <c r="C328" t="s">
        <v>1</v>
      </c>
      <c r="D328">
        <v>2109</v>
      </c>
      <c r="E328">
        <v>43952</v>
      </c>
      <c r="F328">
        <v>6327</v>
      </c>
      <c r="G328">
        <v>2636.25</v>
      </c>
    </row>
    <row r="329" spans="1:7" x14ac:dyDescent="0.25">
      <c r="A329">
        <v>2</v>
      </c>
      <c r="B329">
        <v>203224</v>
      </c>
      <c r="C329" t="s">
        <v>2</v>
      </c>
      <c r="D329">
        <v>1580</v>
      </c>
      <c r="E329">
        <v>44075</v>
      </c>
      <c r="F329">
        <v>6320</v>
      </c>
      <c r="G329">
        <v>2370</v>
      </c>
    </row>
    <row r="330" spans="1:7" x14ac:dyDescent="0.25">
      <c r="A330">
        <v>3</v>
      </c>
      <c r="B330">
        <v>428676</v>
      </c>
      <c r="C330" t="s">
        <v>3</v>
      </c>
      <c r="D330">
        <v>1259</v>
      </c>
      <c r="E330">
        <v>43922</v>
      </c>
      <c r="F330">
        <v>6295</v>
      </c>
      <c r="G330">
        <v>2518</v>
      </c>
    </row>
    <row r="331" spans="1:7" x14ac:dyDescent="0.25">
      <c r="A331">
        <v>2</v>
      </c>
      <c r="B331">
        <v>295574</v>
      </c>
      <c r="C331" t="s">
        <v>2</v>
      </c>
      <c r="D331">
        <v>1563</v>
      </c>
      <c r="E331">
        <v>43952</v>
      </c>
      <c r="F331">
        <v>6252</v>
      </c>
      <c r="G331">
        <v>2344.5</v>
      </c>
    </row>
    <row r="332" spans="1:7" x14ac:dyDescent="0.25">
      <c r="A332">
        <v>2</v>
      </c>
      <c r="B332">
        <v>707082</v>
      </c>
      <c r="C332" t="s">
        <v>4</v>
      </c>
      <c r="D332">
        <v>1250</v>
      </c>
      <c r="E332">
        <v>44166</v>
      </c>
      <c r="F332">
        <v>6250</v>
      </c>
      <c r="G332">
        <v>2750</v>
      </c>
    </row>
    <row r="333" spans="1:7" x14ac:dyDescent="0.25">
      <c r="A333">
        <v>3</v>
      </c>
      <c r="B333">
        <v>374010</v>
      </c>
      <c r="C333" t="s">
        <v>3</v>
      </c>
      <c r="D333">
        <v>1249</v>
      </c>
      <c r="E333">
        <v>44105</v>
      </c>
      <c r="F333">
        <v>6245</v>
      </c>
      <c r="G333">
        <v>2498</v>
      </c>
    </row>
    <row r="334" spans="1:7" x14ac:dyDescent="0.25">
      <c r="A334">
        <v>3</v>
      </c>
      <c r="B334">
        <v>607051</v>
      </c>
      <c r="C334" t="s">
        <v>2</v>
      </c>
      <c r="D334">
        <v>1560</v>
      </c>
      <c r="E334">
        <v>43770</v>
      </c>
      <c r="F334">
        <v>6240</v>
      </c>
      <c r="G334">
        <v>2340</v>
      </c>
    </row>
    <row r="335" spans="1:7" x14ac:dyDescent="0.25">
      <c r="A335">
        <v>4</v>
      </c>
      <c r="B335">
        <v>234670</v>
      </c>
      <c r="C335" t="s">
        <v>5</v>
      </c>
      <c r="D335">
        <v>1033</v>
      </c>
      <c r="E335">
        <v>43800</v>
      </c>
      <c r="F335">
        <v>6198</v>
      </c>
      <c r="G335">
        <v>2840.75</v>
      </c>
    </row>
    <row r="336" spans="1:7" x14ac:dyDescent="0.25">
      <c r="A336">
        <v>2</v>
      </c>
      <c r="B336">
        <v>734809</v>
      </c>
      <c r="C336" t="s">
        <v>4</v>
      </c>
      <c r="D336">
        <v>1236</v>
      </c>
      <c r="E336">
        <v>44136</v>
      </c>
      <c r="F336">
        <v>6180</v>
      </c>
      <c r="G336">
        <v>2719.2000000000003</v>
      </c>
    </row>
    <row r="337" spans="1:7" x14ac:dyDescent="0.25">
      <c r="A337">
        <v>5</v>
      </c>
      <c r="B337">
        <v>514463</v>
      </c>
      <c r="C337" t="s">
        <v>3</v>
      </c>
      <c r="D337">
        <v>1233</v>
      </c>
      <c r="E337">
        <v>44166</v>
      </c>
      <c r="F337">
        <v>6165</v>
      </c>
      <c r="G337">
        <v>2466</v>
      </c>
    </row>
    <row r="338" spans="1:7" x14ac:dyDescent="0.25">
      <c r="A338">
        <v>4</v>
      </c>
      <c r="B338">
        <v>495847</v>
      </c>
      <c r="C338" t="s">
        <v>2</v>
      </c>
      <c r="D338">
        <v>1540</v>
      </c>
      <c r="E338">
        <v>44044</v>
      </c>
      <c r="F338">
        <v>6160</v>
      </c>
      <c r="G338">
        <v>2310</v>
      </c>
    </row>
    <row r="339" spans="1:7" x14ac:dyDescent="0.25">
      <c r="A339">
        <v>3</v>
      </c>
      <c r="B339">
        <v>697895</v>
      </c>
      <c r="C339" t="s">
        <v>3</v>
      </c>
      <c r="D339">
        <v>1228</v>
      </c>
      <c r="E339">
        <v>43739</v>
      </c>
      <c r="F339">
        <v>6140</v>
      </c>
      <c r="G339">
        <v>2456</v>
      </c>
    </row>
    <row r="340" spans="1:7" x14ac:dyDescent="0.25">
      <c r="A340">
        <v>3</v>
      </c>
      <c r="B340">
        <v>117166</v>
      </c>
      <c r="C340" t="s">
        <v>4</v>
      </c>
      <c r="D340">
        <v>1228</v>
      </c>
      <c r="E340">
        <v>43739</v>
      </c>
      <c r="F340">
        <v>6140</v>
      </c>
      <c r="G340">
        <v>2701.6000000000004</v>
      </c>
    </row>
    <row r="341" spans="1:7" x14ac:dyDescent="0.25">
      <c r="A341">
        <v>3</v>
      </c>
      <c r="B341">
        <v>171515</v>
      </c>
      <c r="C341" t="s">
        <v>3</v>
      </c>
      <c r="D341">
        <v>1227</v>
      </c>
      <c r="E341">
        <v>44105</v>
      </c>
      <c r="F341">
        <v>6135</v>
      </c>
      <c r="G341">
        <v>2454</v>
      </c>
    </row>
    <row r="342" spans="1:7" x14ac:dyDescent="0.25">
      <c r="A342">
        <v>3</v>
      </c>
      <c r="B342">
        <v>758487</v>
      </c>
      <c r="C342" t="s">
        <v>5</v>
      </c>
      <c r="D342">
        <v>1013</v>
      </c>
      <c r="E342">
        <v>44166</v>
      </c>
      <c r="F342">
        <v>6078</v>
      </c>
      <c r="G342">
        <v>2785.75</v>
      </c>
    </row>
    <row r="343" spans="1:7" x14ac:dyDescent="0.25">
      <c r="A343">
        <v>3</v>
      </c>
      <c r="B343">
        <v>199710</v>
      </c>
      <c r="C343" t="s">
        <v>2</v>
      </c>
      <c r="D343">
        <v>1513</v>
      </c>
      <c r="E343">
        <v>44136</v>
      </c>
      <c r="F343">
        <v>6052</v>
      </c>
      <c r="G343">
        <v>2269.5</v>
      </c>
    </row>
    <row r="344" spans="1:7" x14ac:dyDescent="0.25">
      <c r="A344">
        <v>4</v>
      </c>
      <c r="B344">
        <v>682634</v>
      </c>
      <c r="C344" t="s">
        <v>2</v>
      </c>
      <c r="D344">
        <v>1513</v>
      </c>
      <c r="E344">
        <v>44166</v>
      </c>
      <c r="F344">
        <v>6052</v>
      </c>
      <c r="G344">
        <v>2269.5</v>
      </c>
    </row>
    <row r="345" spans="1:7" x14ac:dyDescent="0.25">
      <c r="A345">
        <v>4</v>
      </c>
      <c r="B345">
        <v>552346</v>
      </c>
      <c r="C345" t="s">
        <v>5</v>
      </c>
      <c r="D345">
        <v>1006</v>
      </c>
      <c r="E345">
        <v>43983</v>
      </c>
      <c r="F345">
        <v>6036</v>
      </c>
      <c r="G345">
        <v>2766.5</v>
      </c>
    </row>
    <row r="346" spans="1:7" x14ac:dyDescent="0.25">
      <c r="A346">
        <v>5</v>
      </c>
      <c r="B346">
        <v>263637</v>
      </c>
      <c r="C346" t="s">
        <v>5</v>
      </c>
      <c r="D346">
        <v>1001</v>
      </c>
      <c r="E346">
        <v>44044</v>
      </c>
      <c r="F346">
        <v>6006</v>
      </c>
      <c r="G346">
        <v>2752.75</v>
      </c>
    </row>
    <row r="347" spans="1:7" x14ac:dyDescent="0.25">
      <c r="A347">
        <v>3</v>
      </c>
      <c r="B347">
        <v>793118</v>
      </c>
      <c r="C347" t="s">
        <v>1</v>
      </c>
      <c r="D347">
        <v>2001</v>
      </c>
      <c r="E347">
        <v>43862</v>
      </c>
      <c r="F347">
        <v>6003</v>
      </c>
      <c r="G347">
        <v>2501.25</v>
      </c>
    </row>
    <row r="348" spans="1:7" x14ac:dyDescent="0.25">
      <c r="A348">
        <v>3</v>
      </c>
      <c r="B348">
        <v>294935</v>
      </c>
      <c r="C348" t="s">
        <v>3</v>
      </c>
      <c r="D348">
        <v>1198</v>
      </c>
      <c r="E348">
        <v>43739</v>
      </c>
      <c r="F348">
        <v>5990</v>
      </c>
      <c r="G348">
        <v>2396</v>
      </c>
    </row>
    <row r="349" spans="1:7" x14ac:dyDescent="0.25">
      <c r="A349">
        <v>3</v>
      </c>
      <c r="B349">
        <v>582048</v>
      </c>
      <c r="C349" t="s">
        <v>3</v>
      </c>
      <c r="D349">
        <v>1197</v>
      </c>
      <c r="E349">
        <v>44136</v>
      </c>
      <c r="F349">
        <v>5985</v>
      </c>
      <c r="G349">
        <v>2394</v>
      </c>
    </row>
    <row r="350" spans="1:7" x14ac:dyDescent="0.25">
      <c r="A350">
        <v>2</v>
      </c>
      <c r="B350">
        <v>289035</v>
      </c>
      <c r="C350" t="s">
        <v>2</v>
      </c>
      <c r="D350">
        <v>1496</v>
      </c>
      <c r="E350">
        <v>44105</v>
      </c>
      <c r="F350">
        <v>5984</v>
      </c>
      <c r="G350">
        <v>2244</v>
      </c>
    </row>
    <row r="351" spans="1:7" x14ac:dyDescent="0.25">
      <c r="A351">
        <v>3</v>
      </c>
      <c r="B351">
        <v>479703</v>
      </c>
      <c r="C351" t="s">
        <v>4</v>
      </c>
      <c r="D351">
        <v>1190</v>
      </c>
      <c r="E351">
        <v>43983</v>
      </c>
      <c r="F351">
        <v>5950</v>
      </c>
      <c r="G351">
        <v>2618</v>
      </c>
    </row>
    <row r="352" spans="1:7" x14ac:dyDescent="0.25">
      <c r="A352">
        <v>3</v>
      </c>
      <c r="B352">
        <v>788517</v>
      </c>
      <c r="C352" t="s">
        <v>2</v>
      </c>
      <c r="D352">
        <v>1482</v>
      </c>
      <c r="E352">
        <v>43800</v>
      </c>
      <c r="F352">
        <v>5928</v>
      </c>
      <c r="G352">
        <v>2223</v>
      </c>
    </row>
    <row r="353" spans="1:7" x14ac:dyDescent="0.25">
      <c r="A353">
        <v>2</v>
      </c>
      <c r="B353">
        <v>382008</v>
      </c>
      <c r="C353" t="s">
        <v>5</v>
      </c>
      <c r="D353">
        <v>986</v>
      </c>
      <c r="E353">
        <v>44105</v>
      </c>
      <c r="F353">
        <v>5916</v>
      </c>
      <c r="G353">
        <v>2711.5</v>
      </c>
    </row>
    <row r="354" spans="1:7" x14ac:dyDescent="0.25">
      <c r="A354">
        <v>3</v>
      </c>
      <c r="B354">
        <v>763666</v>
      </c>
      <c r="C354" t="s">
        <v>3</v>
      </c>
      <c r="D354">
        <v>1177</v>
      </c>
      <c r="E354">
        <v>44136</v>
      </c>
      <c r="F354">
        <v>5885</v>
      </c>
      <c r="G354">
        <v>2354</v>
      </c>
    </row>
    <row r="355" spans="1:7" x14ac:dyDescent="0.25">
      <c r="A355">
        <v>2</v>
      </c>
      <c r="B355">
        <v>837170</v>
      </c>
      <c r="C355" t="s">
        <v>3</v>
      </c>
      <c r="D355">
        <v>1175</v>
      </c>
      <c r="E355">
        <v>44105</v>
      </c>
      <c r="F355">
        <v>5875</v>
      </c>
      <c r="G355">
        <v>2350</v>
      </c>
    </row>
    <row r="356" spans="1:7" x14ac:dyDescent="0.25">
      <c r="A356">
        <v>2</v>
      </c>
      <c r="B356">
        <v>462436</v>
      </c>
      <c r="C356" t="s">
        <v>1</v>
      </c>
      <c r="D356">
        <v>1956</v>
      </c>
      <c r="E356">
        <v>43831</v>
      </c>
      <c r="F356">
        <v>5868</v>
      </c>
      <c r="G356">
        <v>2445</v>
      </c>
    </row>
    <row r="357" spans="1:7" x14ac:dyDescent="0.25">
      <c r="A357">
        <v>4</v>
      </c>
      <c r="B357">
        <v>623371</v>
      </c>
      <c r="C357" t="s">
        <v>1</v>
      </c>
      <c r="D357">
        <v>1945</v>
      </c>
      <c r="E357">
        <v>43739</v>
      </c>
      <c r="F357">
        <v>5835</v>
      </c>
      <c r="G357">
        <v>2431.25</v>
      </c>
    </row>
    <row r="358" spans="1:7" x14ac:dyDescent="0.25">
      <c r="A358">
        <v>2</v>
      </c>
      <c r="B358">
        <v>434482</v>
      </c>
      <c r="C358" t="s">
        <v>1</v>
      </c>
      <c r="D358">
        <v>1940</v>
      </c>
      <c r="E358">
        <v>43800</v>
      </c>
      <c r="F358">
        <v>5820</v>
      </c>
      <c r="G358">
        <v>2425</v>
      </c>
    </row>
    <row r="359" spans="1:7" x14ac:dyDescent="0.25">
      <c r="A359">
        <v>3</v>
      </c>
      <c r="B359">
        <v>151329</v>
      </c>
      <c r="C359" t="s">
        <v>4</v>
      </c>
      <c r="D359">
        <v>1159</v>
      </c>
      <c r="E359">
        <v>43739</v>
      </c>
      <c r="F359">
        <v>5795</v>
      </c>
      <c r="G359">
        <v>2549.8000000000002</v>
      </c>
    </row>
    <row r="360" spans="1:7" x14ac:dyDescent="0.25">
      <c r="A360">
        <v>4</v>
      </c>
      <c r="B360">
        <v>690780</v>
      </c>
      <c r="C360" t="s">
        <v>3</v>
      </c>
      <c r="D360">
        <v>1158</v>
      </c>
      <c r="E360">
        <v>43891</v>
      </c>
      <c r="F360">
        <v>5790</v>
      </c>
      <c r="G360">
        <v>2316</v>
      </c>
    </row>
    <row r="361" spans="1:7" x14ac:dyDescent="0.25">
      <c r="A361">
        <v>4</v>
      </c>
      <c r="B361">
        <v>869055</v>
      </c>
      <c r="C361" t="s">
        <v>2</v>
      </c>
      <c r="D361">
        <v>1445</v>
      </c>
      <c r="E361">
        <v>44075</v>
      </c>
      <c r="F361">
        <v>5780</v>
      </c>
      <c r="G361">
        <v>2167.5</v>
      </c>
    </row>
    <row r="362" spans="1:7" x14ac:dyDescent="0.25">
      <c r="A362">
        <v>2</v>
      </c>
      <c r="B362">
        <v>203608</v>
      </c>
      <c r="C362" t="s">
        <v>3</v>
      </c>
      <c r="D362">
        <v>1153</v>
      </c>
      <c r="E362">
        <v>44105</v>
      </c>
      <c r="F362">
        <v>5765</v>
      </c>
      <c r="G362">
        <v>2306</v>
      </c>
    </row>
    <row r="363" spans="1:7" x14ac:dyDescent="0.25">
      <c r="A363">
        <v>3</v>
      </c>
      <c r="B363">
        <v>703612</v>
      </c>
      <c r="C363" t="s">
        <v>1</v>
      </c>
      <c r="D363">
        <v>1916</v>
      </c>
      <c r="E363">
        <v>43922</v>
      </c>
      <c r="F363">
        <v>5748</v>
      </c>
      <c r="G363">
        <v>2395</v>
      </c>
    </row>
    <row r="364" spans="1:7" x14ac:dyDescent="0.25">
      <c r="A364">
        <v>2</v>
      </c>
      <c r="B364">
        <v>308620</v>
      </c>
      <c r="C364" t="s">
        <v>3</v>
      </c>
      <c r="D364">
        <v>1143</v>
      </c>
      <c r="E364">
        <v>44105</v>
      </c>
      <c r="F364">
        <v>5715</v>
      </c>
      <c r="G364">
        <v>2286</v>
      </c>
    </row>
    <row r="365" spans="1:7" x14ac:dyDescent="0.25">
      <c r="A365">
        <v>3</v>
      </c>
      <c r="B365">
        <v>170867</v>
      </c>
      <c r="C365" t="s">
        <v>4</v>
      </c>
      <c r="D365">
        <v>1143</v>
      </c>
      <c r="E365">
        <v>44105</v>
      </c>
      <c r="F365">
        <v>5715</v>
      </c>
      <c r="G365">
        <v>2514.6000000000004</v>
      </c>
    </row>
    <row r="366" spans="1:7" x14ac:dyDescent="0.25">
      <c r="A366">
        <v>4</v>
      </c>
      <c r="B366">
        <v>730844</v>
      </c>
      <c r="C366" t="s">
        <v>5</v>
      </c>
      <c r="D366">
        <v>952</v>
      </c>
      <c r="E366">
        <v>43862</v>
      </c>
      <c r="F366">
        <v>5712</v>
      </c>
      <c r="G366">
        <v>2618</v>
      </c>
    </row>
    <row r="367" spans="1:7" x14ac:dyDescent="0.25">
      <c r="A367">
        <v>1</v>
      </c>
      <c r="B367">
        <v>234290</v>
      </c>
      <c r="C367" t="s">
        <v>3</v>
      </c>
      <c r="D367">
        <v>1142</v>
      </c>
      <c r="E367">
        <v>43983</v>
      </c>
      <c r="F367">
        <v>5710</v>
      </c>
      <c r="G367">
        <v>2284</v>
      </c>
    </row>
    <row r="368" spans="1:7" x14ac:dyDescent="0.25">
      <c r="A368">
        <v>3</v>
      </c>
      <c r="B368">
        <v>697568</v>
      </c>
      <c r="C368" t="s">
        <v>3</v>
      </c>
      <c r="D368">
        <v>1138</v>
      </c>
      <c r="E368">
        <v>44166</v>
      </c>
      <c r="F368">
        <v>5690</v>
      </c>
      <c r="G368">
        <v>2276</v>
      </c>
    </row>
    <row r="369" spans="1:7" x14ac:dyDescent="0.25">
      <c r="A369">
        <v>5</v>
      </c>
      <c r="B369">
        <v>691342</v>
      </c>
      <c r="C369" t="s">
        <v>4</v>
      </c>
      <c r="D369">
        <v>1135</v>
      </c>
      <c r="E369">
        <v>43983</v>
      </c>
      <c r="F369">
        <v>5675</v>
      </c>
      <c r="G369">
        <v>2497</v>
      </c>
    </row>
    <row r="370" spans="1:7" x14ac:dyDescent="0.25">
      <c r="A370">
        <v>2</v>
      </c>
      <c r="B370">
        <v>149767</v>
      </c>
      <c r="C370" t="s">
        <v>1</v>
      </c>
      <c r="D370">
        <v>1874</v>
      </c>
      <c r="E370">
        <v>44044</v>
      </c>
      <c r="F370">
        <v>5622</v>
      </c>
      <c r="G370">
        <v>2342.5</v>
      </c>
    </row>
    <row r="371" spans="1:7" x14ac:dyDescent="0.25">
      <c r="A371">
        <v>2</v>
      </c>
      <c r="B371">
        <v>898591</v>
      </c>
      <c r="C371" t="s">
        <v>3</v>
      </c>
      <c r="D371">
        <v>1123</v>
      </c>
      <c r="E371">
        <v>43709</v>
      </c>
      <c r="F371">
        <v>5615</v>
      </c>
      <c r="G371">
        <v>2246</v>
      </c>
    </row>
    <row r="372" spans="1:7" x14ac:dyDescent="0.25">
      <c r="A372">
        <v>2</v>
      </c>
      <c r="B372">
        <v>304458</v>
      </c>
      <c r="C372" t="s">
        <v>4</v>
      </c>
      <c r="D372">
        <v>1123</v>
      </c>
      <c r="E372">
        <v>44044</v>
      </c>
      <c r="F372">
        <v>5615</v>
      </c>
      <c r="G372">
        <v>2470.6000000000004</v>
      </c>
    </row>
    <row r="373" spans="1:7" x14ac:dyDescent="0.25">
      <c r="A373">
        <v>2</v>
      </c>
      <c r="B373">
        <v>366080</v>
      </c>
      <c r="C373" t="s">
        <v>1</v>
      </c>
      <c r="D373">
        <v>1870</v>
      </c>
      <c r="E373">
        <v>43800</v>
      </c>
      <c r="F373">
        <v>5610</v>
      </c>
      <c r="G373">
        <v>2337.5</v>
      </c>
    </row>
    <row r="374" spans="1:7" x14ac:dyDescent="0.25">
      <c r="A374">
        <v>3</v>
      </c>
      <c r="B374">
        <v>667288</v>
      </c>
      <c r="C374" t="s">
        <v>3</v>
      </c>
      <c r="D374">
        <v>1122</v>
      </c>
      <c r="E374">
        <v>43891</v>
      </c>
      <c r="F374">
        <v>5610</v>
      </c>
      <c r="G374">
        <v>2244</v>
      </c>
    </row>
    <row r="375" spans="1:7" x14ac:dyDescent="0.25">
      <c r="A375">
        <v>2</v>
      </c>
      <c r="B375">
        <v>390355</v>
      </c>
      <c r="C375" t="s">
        <v>1</v>
      </c>
      <c r="D375">
        <v>1867</v>
      </c>
      <c r="E375">
        <v>44075</v>
      </c>
      <c r="F375">
        <v>5601</v>
      </c>
      <c r="G375">
        <v>2333.75</v>
      </c>
    </row>
    <row r="376" spans="1:7" x14ac:dyDescent="0.25">
      <c r="A376">
        <v>2</v>
      </c>
      <c r="B376">
        <v>653226</v>
      </c>
      <c r="C376" t="s">
        <v>4</v>
      </c>
      <c r="D376">
        <v>1118</v>
      </c>
      <c r="E376">
        <v>44136</v>
      </c>
      <c r="F376">
        <v>5590</v>
      </c>
      <c r="G376">
        <v>2459.6000000000004</v>
      </c>
    </row>
    <row r="377" spans="1:7" x14ac:dyDescent="0.25">
      <c r="A377">
        <v>4</v>
      </c>
      <c r="B377">
        <v>128044</v>
      </c>
      <c r="C377" t="s">
        <v>2</v>
      </c>
      <c r="D377">
        <v>1397</v>
      </c>
      <c r="E377">
        <v>44105</v>
      </c>
      <c r="F377">
        <v>5588</v>
      </c>
      <c r="G377">
        <v>2095.5</v>
      </c>
    </row>
    <row r="378" spans="1:7" x14ac:dyDescent="0.25">
      <c r="A378">
        <v>4</v>
      </c>
      <c r="B378">
        <v>686090</v>
      </c>
      <c r="C378" t="s">
        <v>3</v>
      </c>
      <c r="D378">
        <v>1114</v>
      </c>
      <c r="E378">
        <v>43891</v>
      </c>
      <c r="F378">
        <v>5570</v>
      </c>
      <c r="G378">
        <v>2228</v>
      </c>
    </row>
    <row r="379" spans="1:7" x14ac:dyDescent="0.25">
      <c r="A379">
        <v>1</v>
      </c>
      <c r="B379">
        <v>265959</v>
      </c>
      <c r="C379" t="s">
        <v>5</v>
      </c>
      <c r="D379">
        <v>923</v>
      </c>
      <c r="E379">
        <v>44044</v>
      </c>
      <c r="F379">
        <v>5538</v>
      </c>
      <c r="G379">
        <v>2538.25</v>
      </c>
    </row>
    <row r="380" spans="1:7" x14ac:dyDescent="0.25">
      <c r="A380">
        <v>3</v>
      </c>
      <c r="B380">
        <v>604462</v>
      </c>
      <c r="C380" t="s">
        <v>4</v>
      </c>
      <c r="D380">
        <v>1101</v>
      </c>
      <c r="E380">
        <v>43891</v>
      </c>
      <c r="F380">
        <v>5505</v>
      </c>
      <c r="G380">
        <v>2422.2000000000003</v>
      </c>
    </row>
    <row r="381" spans="1:7" x14ac:dyDescent="0.25">
      <c r="A381">
        <v>4</v>
      </c>
      <c r="B381">
        <v>414628</v>
      </c>
      <c r="C381" t="s">
        <v>5</v>
      </c>
      <c r="D381">
        <v>914</v>
      </c>
      <c r="E381">
        <v>44166</v>
      </c>
      <c r="F381">
        <v>5484</v>
      </c>
      <c r="G381">
        <v>2513.5</v>
      </c>
    </row>
    <row r="382" spans="1:7" x14ac:dyDescent="0.25">
      <c r="A382">
        <v>5</v>
      </c>
      <c r="B382">
        <v>278950</v>
      </c>
      <c r="C382" t="s">
        <v>3</v>
      </c>
      <c r="D382">
        <v>1095</v>
      </c>
      <c r="E382">
        <v>43952</v>
      </c>
      <c r="F382">
        <v>5475</v>
      </c>
      <c r="G382">
        <v>2190</v>
      </c>
    </row>
    <row r="383" spans="1:7" x14ac:dyDescent="0.25">
      <c r="A383">
        <v>5</v>
      </c>
      <c r="B383">
        <v>529578</v>
      </c>
      <c r="C383" t="s">
        <v>3</v>
      </c>
      <c r="D383">
        <v>1094</v>
      </c>
      <c r="E383">
        <v>43983</v>
      </c>
      <c r="F383">
        <v>5470</v>
      </c>
      <c r="G383">
        <v>2188</v>
      </c>
    </row>
    <row r="384" spans="1:7" x14ac:dyDescent="0.25">
      <c r="A384">
        <v>4</v>
      </c>
      <c r="B384">
        <v>745887</v>
      </c>
      <c r="C384" t="s">
        <v>1</v>
      </c>
      <c r="D384">
        <v>1817</v>
      </c>
      <c r="E384">
        <v>44166</v>
      </c>
      <c r="F384">
        <v>5451</v>
      </c>
      <c r="G384">
        <v>2271.25</v>
      </c>
    </row>
    <row r="385" spans="1:7" x14ac:dyDescent="0.25">
      <c r="A385">
        <v>4</v>
      </c>
      <c r="B385">
        <v>702657</v>
      </c>
      <c r="C385" t="s">
        <v>2</v>
      </c>
      <c r="D385">
        <v>1362</v>
      </c>
      <c r="E385">
        <v>44166</v>
      </c>
      <c r="F385">
        <v>5448</v>
      </c>
      <c r="G385">
        <v>2043</v>
      </c>
    </row>
    <row r="386" spans="1:7" x14ac:dyDescent="0.25">
      <c r="A386">
        <v>3</v>
      </c>
      <c r="B386">
        <v>234667</v>
      </c>
      <c r="C386" t="s">
        <v>5</v>
      </c>
      <c r="D386">
        <v>905</v>
      </c>
      <c r="E386">
        <v>44105</v>
      </c>
      <c r="F386">
        <v>5430</v>
      </c>
      <c r="G386">
        <v>2488.75</v>
      </c>
    </row>
    <row r="387" spans="1:7" x14ac:dyDescent="0.25">
      <c r="A387">
        <v>2</v>
      </c>
      <c r="B387">
        <v>332447</v>
      </c>
      <c r="C387" t="s">
        <v>3</v>
      </c>
      <c r="D387">
        <v>1085</v>
      </c>
      <c r="E387">
        <v>44105</v>
      </c>
      <c r="F387">
        <v>5425</v>
      </c>
      <c r="G387">
        <v>2170</v>
      </c>
    </row>
    <row r="388" spans="1:7" x14ac:dyDescent="0.25">
      <c r="A388">
        <v>3</v>
      </c>
      <c r="B388">
        <v>300303</v>
      </c>
      <c r="C388" t="s">
        <v>3</v>
      </c>
      <c r="D388">
        <v>1084</v>
      </c>
      <c r="E388">
        <v>44166</v>
      </c>
      <c r="F388">
        <v>5420</v>
      </c>
      <c r="G388">
        <v>2168</v>
      </c>
    </row>
    <row r="389" spans="1:7" x14ac:dyDescent="0.25">
      <c r="A389">
        <v>3</v>
      </c>
      <c r="B389">
        <v>559561</v>
      </c>
      <c r="C389" t="s">
        <v>1</v>
      </c>
      <c r="D389">
        <v>1806</v>
      </c>
      <c r="E389">
        <v>43952</v>
      </c>
      <c r="F389">
        <v>5418</v>
      </c>
      <c r="G389">
        <v>2257.5</v>
      </c>
    </row>
    <row r="390" spans="1:7" x14ac:dyDescent="0.25">
      <c r="A390">
        <v>4</v>
      </c>
      <c r="B390">
        <v>558408</v>
      </c>
      <c r="C390" t="s">
        <v>4</v>
      </c>
      <c r="D390">
        <v>1074</v>
      </c>
      <c r="E390">
        <v>43922</v>
      </c>
      <c r="F390">
        <v>5370</v>
      </c>
      <c r="G390">
        <v>2362.8000000000002</v>
      </c>
    </row>
    <row r="391" spans="1:7" x14ac:dyDescent="0.25">
      <c r="A391">
        <v>4</v>
      </c>
      <c r="B391">
        <v>858867</v>
      </c>
      <c r="C391" t="s">
        <v>2</v>
      </c>
      <c r="D391">
        <v>1321</v>
      </c>
      <c r="E391">
        <v>43831</v>
      </c>
      <c r="F391">
        <v>5284</v>
      </c>
      <c r="G391">
        <v>1981.5</v>
      </c>
    </row>
    <row r="392" spans="1:7" x14ac:dyDescent="0.25">
      <c r="A392">
        <v>5</v>
      </c>
      <c r="B392">
        <v>436748</v>
      </c>
      <c r="C392" t="s">
        <v>3</v>
      </c>
      <c r="D392">
        <v>1056</v>
      </c>
      <c r="E392">
        <v>44075</v>
      </c>
      <c r="F392">
        <v>5280</v>
      </c>
      <c r="G392">
        <v>2112</v>
      </c>
    </row>
    <row r="393" spans="1:7" x14ac:dyDescent="0.25">
      <c r="A393">
        <v>5</v>
      </c>
      <c r="B393">
        <v>531834</v>
      </c>
      <c r="C393" t="s">
        <v>3</v>
      </c>
      <c r="D393">
        <v>1055</v>
      </c>
      <c r="E393">
        <v>44166</v>
      </c>
      <c r="F393">
        <v>5275</v>
      </c>
      <c r="G393">
        <v>2110</v>
      </c>
    </row>
    <row r="394" spans="1:7" x14ac:dyDescent="0.25">
      <c r="A394">
        <v>5</v>
      </c>
      <c r="B394">
        <v>275167</v>
      </c>
      <c r="C394" t="s">
        <v>1</v>
      </c>
      <c r="D394">
        <v>1744</v>
      </c>
      <c r="E394">
        <v>44136</v>
      </c>
      <c r="F394">
        <v>5232</v>
      </c>
      <c r="G394">
        <v>2180</v>
      </c>
    </row>
    <row r="395" spans="1:7" x14ac:dyDescent="0.25">
      <c r="A395">
        <v>2</v>
      </c>
      <c r="B395">
        <v>361541</v>
      </c>
      <c r="C395" t="s">
        <v>1</v>
      </c>
      <c r="D395">
        <v>1738.5</v>
      </c>
      <c r="E395">
        <v>43922</v>
      </c>
      <c r="F395">
        <v>5215.5</v>
      </c>
      <c r="G395">
        <v>2173.125</v>
      </c>
    </row>
    <row r="397" spans="1:7" x14ac:dyDescent="0.25">
      <c r="A397">
        <v>2</v>
      </c>
      <c r="B397">
        <v>153144</v>
      </c>
      <c r="C397" t="s">
        <v>1</v>
      </c>
      <c r="D397">
        <v>1734</v>
      </c>
      <c r="E397">
        <v>43831</v>
      </c>
      <c r="F397">
        <v>5202</v>
      </c>
      <c r="G397">
        <v>2167.5</v>
      </c>
    </row>
    <row r="398" spans="1:7" x14ac:dyDescent="0.25">
      <c r="A398">
        <v>3</v>
      </c>
      <c r="B398">
        <v>842675</v>
      </c>
      <c r="C398" t="s">
        <v>4</v>
      </c>
      <c r="D398">
        <v>1038</v>
      </c>
      <c r="E398">
        <v>43983</v>
      </c>
      <c r="F398">
        <v>5190</v>
      </c>
      <c r="G398">
        <v>2283.6000000000004</v>
      </c>
    </row>
    <row r="399" spans="1:7" x14ac:dyDescent="0.25">
      <c r="A399">
        <v>4</v>
      </c>
      <c r="B399">
        <v>429472</v>
      </c>
      <c r="C399" t="s">
        <v>3</v>
      </c>
      <c r="D399">
        <v>1038</v>
      </c>
      <c r="E399">
        <v>43983</v>
      </c>
      <c r="F399">
        <v>5190</v>
      </c>
      <c r="G399">
        <v>2076</v>
      </c>
    </row>
    <row r="400" spans="1:7" x14ac:dyDescent="0.25">
      <c r="A400">
        <v>4</v>
      </c>
      <c r="B400">
        <v>601636</v>
      </c>
      <c r="C400" t="s">
        <v>2</v>
      </c>
      <c r="D400">
        <v>1295</v>
      </c>
      <c r="E400">
        <v>44105</v>
      </c>
      <c r="F400">
        <v>5180</v>
      </c>
      <c r="G400">
        <v>1942.5</v>
      </c>
    </row>
    <row r="401" spans="1:7" x14ac:dyDescent="0.25">
      <c r="A401">
        <v>4</v>
      </c>
      <c r="B401">
        <v>304806</v>
      </c>
      <c r="C401" t="s">
        <v>5</v>
      </c>
      <c r="D401">
        <v>861</v>
      </c>
      <c r="E401">
        <v>44105</v>
      </c>
      <c r="F401">
        <v>5166</v>
      </c>
      <c r="G401">
        <v>2367.75</v>
      </c>
    </row>
    <row r="402" spans="1:7" x14ac:dyDescent="0.25">
      <c r="A402">
        <v>1</v>
      </c>
      <c r="B402">
        <v>142979</v>
      </c>
      <c r="C402" t="s">
        <v>3</v>
      </c>
      <c r="D402">
        <v>1031</v>
      </c>
      <c r="E402">
        <v>43709</v>
      </c>
      <c r="F402">
        <v>5155</v>
      </c>
      <c r="G402">
        <v>2062</v>
      </c>
    </row>
    <row r="403" spans="1:7" x14ac:dyDescent="0.25">
      <c r="A403">
        <v>3</v>
      </c>
      <c r="B403">
        <v>600124</v>
      </c>
      <c r="C403" t="s">
        <v>3</v>
      </c>
      <c r="D403">
        <v>1030</v>
      </c>
      <c r="E403">
        <v>43952</v>
      </c>
      <c r="F403">
        <v>5150</v>
      </c>
      <c r="G403">
        <v>2060</v>
      </c>
    </row>
    <row r="404" spans="1:7" x14ac:dyDescent="0.25">
      <c r="A404">
        <v>1</v>
      </c>
      <c r="B404">
        <v>428131</v>
      </c>
      <c r="C404" t="s">
        <v>5</v>
      </c>
      <c r="D404">
        <v>853</v>
      </c>
      <c r="E404">
        <v>44166</v>
      </c>
      <c r="F404">
        <v>5118</v>
      </c>
      <c r="G404">
        <v>2345.75</v>
      </c>
    </row>
    <row r="405" spans="1:7" x14ac:dyDescent="0.25">
      <c r="A405">
        <v>4</v>
      </c>
      <c r="B405">
        <v>721092</v>
      </c>
      <c r="C405" t="s">
        <v>3</v>
      </c>
      <c r="D405">
        <v>1013</v>
      </c>
      <c r="E405">
        <v>44166</v>
      </c>
      <c r="F405">
        <v>5065</v>
      </c>
      <c r="G405">
        <v>2026</v>
      </c>
    </row>
    <row r="406" spans="1:7" x14ac:dyDescent="0.25">
      <c r="A406">
        <v>4</v>
      </c>
      <c r="B406">
        <v>640447</v>
      </c>
      <c r="C406" t="s">
        <v>3</v>
      </c>
      <c r="D406">
        <v>1006</v>
      </c>
      <c r="E406">
        <v>43983</v>
      </c>
      <c r="F406">
        <v>5030</v>
      </c>
      <c r="G406">
        <v>2012</v>
      </c>
    </row>
    <row r="407" spans="1:7" x14ac:dyDescent="0.25">
      <c r="A407">
        <v>3</v>
      </c>
      <c r="B407">
        <v>766207</v>
      </c>
      <c r="C407" t="s">
        <v>4</v>
      </c>
      <c r="D407">
        <v>994</v>
      </c>
      <c r="E407">
        <v>43709</v>
      </c>
      <c r="F407">
        <v>4970</v>
      </c>
      <c r="G407">
        <v>2186.8000000000002</v>
      </c>
    </row>
    <row r="408" spans="1:7" x14ac:dyDescent="0.25">
      <c r="A408">
        <v>4</v>
      </c>
      <c r="B408">
        <v>560581</v>
      </c>
      <c r="C408" t="s">
        <v>3</v>
      </c>
      <c r="D408">
        <v>991</v>
      </c>
      <c r="E408">
        <v>43983</v>
      </c>
      <c r="F408">
        <v>4955</v>
      </c>
      <c r="G408">
        <v>1982</v>
      </c>
    </row>
    <row r="409" spans="1:7" x14ac:dyDescent="0.25">
      <c r="A409">
        <v>4</v>
      </c>
      <c r="B409">
        <v>108848</v>
      </c>
      <c r="C409" t="s">
        <v>1</v>
      </c>
      <c r="D409">
        <v>1642</v>
      </c>
      <c r="E409">
        <v>44044</v>
      </c>
      <c r="F409">
        <v>4926</v>
      </c>
      <c r="G409">
        <v>2052.5</v>
      </c>
    </row>
    <row r="410" spans="1:7" x14ac:dyDescent="0.25">
      <c r="A410">
        <v>3</v>
      </c>
      <c r="B410">
        <v>140794</v>
      </c>
      <c r="C410" t="s">
        <v>3</v>
      </c>
      <c r="D410">
        <v>974</v>
      </c>
      <c r="E410">
        <v>43862</v>
      </c>
      <c r="F410">
        <v>4870</v>
      </c>
      <c r="G410">
        <v>1948</v>
      </c>
    </row>
    <row r="411" spans="1:7" x14ac:dyDescent="0.25">
      <c r="A411">
        <v>5</v>
      </c>
      <c r="B411">
        <v>123431</v>
      </c>
      <c r="C411" t="s">
        <v>3</v>
      </c>
      <c r="D411">
        <v>973</v>
      </c>
      <c r="E411">
        <v>43891</v>
      </c>
      <c r="F411">
        <v>4865</v>
      </c>
      <c r="G411">
        <v>1946</v>
      </c>
    </row>
    <row r="412" spans="1:7" x14ac:dyDescent="0.25">
      <c r="A412">
        <v>1</v>
      </c>
      <c r="B412">
        <v>156941</v>
      </c>
      <c r="C412" t="s">
        <v>5</v>
      </c>
      <c r="D412">
        <v>809</v>
      </c>
      <c r="E412">
        <v>43739</v>
      </c>
      <c r="F412">
        <v>4854</v>
      </c>
      <c r="G412">
        <v>2224.75</v>
      </c>
    </row>
    <row r="413" spans="1:7" x14ac:dyDescent="0.25">
      <c r="A413">
        <v>4</v>
      </c>
      <c r="B413">
        <v>256775</v>
      </c>
      <c r="C413" t="s">
        <v>4</v>
      </c>
      <c r="D413">
        <v>970</v>
      </c>
      <c r="E413">
        <v>43770</v>
      </c>
      <c r="F413">
        <v>4850</v>
      </c>
      <c r="G413">
        <v>2134</v>
      </c>
    </row>
    <row r="414" spans="1:7" x14ac:dyDescent="0.25">
      <c r="A414">
        <v>2</v>
      </c>
      <c r="B414">
        <v>666752</v>
      </c>
      <c r="C414" t="s">
        <v>5</v>
      </c>
      <c r="D414">
        <v>807</v>
      </c>
      <c r="E414">
        <v>43862</v>
      </c>
      <c r="F414">
        <v>4842</v>
      </c>
      <c r="G414">
        <v>2219.25</v>
      </c>
    </row>
    <row r="415" spans="1:7" x14ac:dyDescent="0.25">
      <c r="A415">
        <v>3</v>
      </c>
      <c r="B415">
        <v>103112</v>
      </c>
      <c r="C415" t="s">
        <v>2</v>
      </c>
      <c r="D415">
        <v>1210</v>
      </c>
      <c r="E415">
        <v>43891</v>
      </c>
      <c r="F415">
        <v>4840</v>
      </c>
      <c r="G415">
        <v>1815</v>
      </c>
    </row>
    <row r="416" spans="1:7" x14ac:dyDescent="0.25">
      <c r="A416">
        <v>3</v>
      </c>
      <c r="B416">
        <v>518063</v>
      </c>
      <c r="C416" t="s">
        <v>2</v>
      </c>
      <c r="D416">
        <v>1198</v>
      </c>
      <c r="E416">
        <v>43739</v>
      </c>
      <c r="F416">
        <v>4792</v>
      </c>
      <c r="G416">
        <v>1797</v>
      </c>
    </row>
    <row r="417" spans="1:7" x14ac:dyDescent="0.25">
      <c r="A417">
        <v>2</v>
      </c>
      <c r="B417">
        <v>561318</v>
      </c>
      <c r="C417" t="s">
        <v>1</v>
      </c>
      <c r="D417">
        <v>1583</v>
      </c>
      <c r="E417">
        <v>43983</v>
      </c>
      <c r="F417">
        <v>4749</v>
      </c>
      <c r="G417">
        <v>1978.75</v>
      </c>
    </row>
    <row r="418" spans="1:7" x14ac:dyDescent="0.25">
      <c r="A418">
        <v>1</v>
      </c>
      <c r="B418">
        <v>628954</v>
      </c>
      <c r="C418" t="s">
        <v>1</v>
      </c>
      <c r="D418">
        <v>1582</v>
      </c>
      <c r="E418">
        <v>44166</v>
      </c>
      <c r="F418">
        <v>4746</v>
      </c>
      <c r="G418">
        <v>1977.5</v>
      </c>
    </row>
    <row r="419" spans="1:7" x14ac:dyDescent="0.25">
      <c r="A419">
        <v>1</v>
      </c>
      <c r="B419">
        <v>217808</v>
      </c>
      <c r="C419" t="s">
        <v>5</v>
      </c>
      <c r="D419">
        <v>790</v>
      </c>
      <c r="E419">
        <v>43952</v>
      </c>
      <c r="F419">
        <v>4740</v>
      </c>
      <c r="G419">
        <v>2172.5</v>
      </c>
    </row>
    <row r="420" spans="1:7" x14ac:dyDescent="0.25">
      <c r="A420">
        <v>5</v>
      </c>
      <c r="B420">
        <v>565067</v>
      </c>
      <c r="C420" t="s">
        <v>1</v>
      </c>
      <c r="D420">
        <v>1579</v>
      </c>
      <c r="E420">
        <v>43891</v>
      </c>
      <c r="F420">
        <v>4737</v>
      </c>
      <c r="G420">
        <v>1973.75</v>
      </c>
    </row>
    <row r="421" spans="1:7" x14ac:dyDescent="0.25">
      <c r="A421">
        <v>2</v>
      </c>
      <c r="B421">
        <v>550622</v>
      </c>
      <c r="C421" t="s">
        <v>4</v>
      </c>
      <c r="D421">
        <v>947</v>
      </c>
      <c r="E421">
        <v>43709</v>
      </c>
      <c r="F421">
        <v>4735</v>
      </c>
      <c r="G421">
        <v>2083.4</v>
      </c>
    </row>
    <row r="422" spans="1:7" x14ac:dyDescent="0.25">
      <c r="A422">
        <v>2</v>
      </c>
      <c r="B422">
        <v>358173</v>
      </c>
      <c r="C422" t="s">
        <v>1</v>
      </c>
      <c r="D422">
        <v>1570</v>
      </c>
      <c r="E422">
        <v>43983</v>
      </c>
      <c r="F422">
        <v>4710</v>
      </c>
      <c r="G422">
        <v>1962.5</v>
      </c>
    </row>
    <row r="423" spans="1:7" x14ac:dyDescent="0.25">
      <c r="A423">
        <v>2</v>
      </c>
      <c r="B423">
        <v>544809</v>
      </c>
      <c r="C423" t="s">
        <v>4</v>
      </c>
      <c r="D423">
        <v>941</v>
      </c>
      <c r="E423">
        <v>44136</v>
      </c>
      <c r="F423">
        <v>4705</v>
      </c>
      <c r="G423">
        <v>2070.2000000000003</v>
      </c>
    </row>
    <row r="424" spans="1:7" x14ac:dyDescent="0.25">
      <c r="A424">
        <v>1</v>
      </c>
      <c r="B424">
        <v>819278</v>
      </c>
      <c r="C424" t="s">
        <v>2</v>
      </c>
      <c r="D424">
        <v>1174</v>
      </c>
      <c r="E424">
        <v>44044</v>
      </c>
      <c r="F424">
        <v>4696</v>
      </c>
      <c r="G424">
        <v>1761</v>
      </c>
    </row>
    <row r="425" spans="1:7" x14ac:dyDescent="0.25">
      <c r="A425">
        <v>1</v>
      </c>
      <c r="B425">
        <v>762271</v>
      </c>
      <c r="C425" t="s">
        <v>1</v>
      </c>
      <c r="D425">
        <v>1565</v>
      </c>
      <c r="E425">
        <v>44105</v>
      </c>
      <c r="F425">
        <v>4695</v>
      </c>
      <c r="G425">
        <v>1956.25</v>
      </c>
    </row>
    <row r="426" spans="1:7" x14ac:dyDescent="0.25">
      <c r="A426">
        <v>4</v>
      </c>
      <c r="B426">
        <v>521663</v>
      </c>
      <c r="C426" t="s">
        <v>1</v>
      </c>
      <c r="D426">
        <v>1531</v>
      </c>
      <c r="E426">
        <v>44166</v>
      </c>
      <c r="F426">
        <v>4593</v>
      </c>
      <c r="G426">
        <v>1913.75</v>
      </c>
    </row>
    <row r="427" spans="1:7" x14ac:dyDescent="0.25">
      <c r="A427">
        <v>5</v>
      </c>
      <c r="B427">
        <v>770750</v>
      </c>
      <c r="C427" t="s">
        <v>3</v>
      </c>
      <c r="D427">
        <v>918</v>
      </c>
      <c r="E427">
        <v>43952</v>
      </c>
      <c r="F427">
        <v>4590</v>
      </c>
      <c r="G427">
        <v>1836</v>
      </c>
    </row>
    <row r="428" spans="1:7" x14ac:dyDescent="0.25">
      <c r="A428">
        <v>1</v>
      </c>
      <c r="B428">
        <v>587301</v>
      </c>
      <c r="C428" t="s">
        <v>1</v>
      </c>
      <c r="D428">
        <v>1527</v>
      </c>
      <c r="E428">
        <v>43709</v>
      </c>
      <c r="F428">
        <v>4581</v>
      </c>
      <c r="G428">
        <v>1908.75</v>
      </c>
    </row>
    <row r="429" spans="1:7" x14ac:dyDescent="0.25">
      <c r="A429">
        <v>5</v>
      </c>
      <c r="B429">
        <v>855262</v>
      </c>
      <c r="C429" t="s">
        <v>3</v>
      </c>
      <c r="D429">
        <v>914</v>
      </c>
      <c r="E429">
        <v>44166</v>
      </c>
      <c r="F429">
        <v>4570</v>
      </c>
      <c r="G429">
        <v>1828</v>
      </c>
    </row>
    <row r="430" spans="1:7" x14ac:dyDescent="0.25">
      <c r="A430">
        <v>1</v>
      </c>
      <c r="B430">
        <v>144696</v>
      </c>
      <c r="C430" t="s">
        <v>3</v>
      </c>
      <c r="D430">
        <v>912</v>
      </c>
      <c r="E430">
        <v>43770</v>
      </c>
      <c r="F430">
        <v>4560</v>
      </c>
      <c r="G430">
        <v>1824</v>
      </c>
    </row>
    <row r="431" spans="1:7" x14ac:dyDescent="0.25">
      <c r="A431">
        <v>3</v>
      </c>
      <c r="B431">
        <v>592176</v>
      </c>
      <c r="C431" t="s">
        <v>1</v>
      </c>
      <c r="D431">
        <v>1514</v>
      </c>
      <c r="E431">
        <v>43739</v>
      </c>
      <c r="F431">
        <v>4542</v>
      </c>
      <c r="G431">
        <v>1892.5</v>
      </c>
    </row>
    <row r="432" spans="1:7" x14ac:dyDescent="0.25">
      <c r="A432">
        <v>3</v>
      </c>
      <c r="B432">
        <v>170514</v>
      </c>
      <c r="C432" t="s">
        <v>3</v>
      </c>
      <c r="D432">
        <v>905</v>
      </c>
      <c r="E432">
        <v>44105</v>
      </c>
      <c r="F432">
        <v>4525</v>
      </c>
      <c r="G432">
        <v>1810</v>
      </c>
    </row>
    <row r="433" spans="1:7" x14ac:dyDescent="0.25">
      <c r="A433">
        <v>5</v>
      </c>
      <c r="B433">
        <v>721252</v>
      </c>
      <c r="C433" t="s">
        <v>1</v>
      </c>
      <c r="D433">
        <v>1498</v>
      </c>
      <c r="E433">
        <v>43983</v>
      </c>
      <c r="F433">
        <v>4494</v>
      </c>
      <c r="G433">
        <v>1872.5</v>
      </c>
    </row>
    <row r="434" spans="1:7" x14ac:dyDescent="0.25">
      <c r="A434">
        <v>2</v>
      </c>
      <c r="B434">
        <v>356877</v>
      </c>
      <c r="C434" t="s">
        <v>1</v>
      </c>
      <c r="D434">
        <v>1496</v>
      </c>
      <c r="E434">
        <v>44105</v>
      </c>
      <c r="F434">
        <v>4488</v>
      </c>
      <c r="G434">
        <v>1870</v>
      </c>
    </row>
    <row r="435" spans="1:7" x14ac:dyDescent="0.25">
      <c r="A435">
        <v>3</v>
      </c>
      <c r="B435">
        <v>138905</v>
      </c>
      <c r="C435" t="s">
        <v>1</v>
      </c>
      <c r="D435">
        <v>1491</v>
      </c>
      <c r="E435">
        <v>43891</v>
      </c>
      <c r="F435">
        <v>4473</v>
      </c>
      <c r="G435">
        <v>1863.75</v>
      </c>
    </row>
    <row r="436" spans="1:7" x14ac:dyDescent="0.25">
      <c r="A436">
        <v>4</v>
      </c>
      <c r="B436">
        <v>137994</v>
      </c>
      <c r="C436" t="s">
        <v>2</v>
      </c>
      <c r="D436">
        <v>1117.5</v>
      </c>
      <c r="E436">
        <v>43831</v>
      </c>
      <c r="F436">
        <v>4470</v>
      </c>
      <c r="G436">
        <v>1676.25</v>
      </c>
    </row>
    <row r="437" spans="1:7" x14ac:dyDescent="0.25">
      <c r="A437">
        <v>3</v>
      </c>
      <c r="B437">
        <v>787606</v>
      </c>
      <c r="C437" t="s">
        <v>2</v>
      </c>
      <c r="D437">
        <v>1116</v>
      </c>
      <c r="E437">
        <v>43862</v>
      </c>
      <c r="F437">
        <v>4464</v>
      </c>
      <c r="G437">
        <v>1674</v>
      </c>
    </row>
    <row r="438" spans="1:7" x14ac:dyDescent="0.25">
      <c r="A438">
        <v>3</v>
      </c>
      <c r="B438">
        <v>858624</v>
      </c>
      <c r="C438" t="s">
        <v>4</v>
      </c>
      <c r="D438">
        <v>888</v>
      </c>
      <c r="E438">
        <v>43891</v>
      </c>
      <c r="F438">
        <v>4440</v>
      </c>
      <c r="G438">
        <v>1953.6000000000001</v>
      </c>
    </row>
    <row r="439" spans="1:7" x14ac:dyDescent="0.25">
      <c r="A439">
        <v>5</v>
      </c>
      <c r="B439">
        <v>249663</v>
      </c>
      <c r="C439" t="s">
        <v>3</v>
      </c>
      <c r="D439">
        <v>886</v>
      </c>
      <c r="E439">
        <v>43983</v>
      </c>
      <c r="F439">
        <v>4430</v>
      </c>
      <c r="G439">
        <v>1772</v>
      </c>
    </row>
    <row r="440" spans="1:7" x14ac:dyDescent="0.25">
      <c r="A440">
        <v>4</v>
      </c>
      <c r="B440">
        <v>455927</v>
      </c>
      <c r="C440" t="s">
        <v>5</v>
      </c>
      <c r="D440">
        <v>736</v>
      </c>
      <c r="E440">
        <v>43709</v>
      </c>
      <c r="F440">
        <v>4416</v>
      </c>
      <c r="G440">
        <v>2024</v>
      </c>
    </row>
    <row r="441" spans="1:7" x14ac:dyDescent="0.25">
      <c r="A441">
        <v>5</v>
      </c>
      <c r="B441">
        <v>889571</v>
      </c>
      <c r="C441" t="s">
        <v>3</v>
      </c>
      <c r="D441">
        <v>883</v>
      </c>
      <c r="E441">
        <v>44044</v>
      </c>
      <c r="F441">
        <v>4415</v>
      </c>
      <c r="G441">
        <v>1766</v>
      </c>
    </row>
    <row r="442" spans="1:7" x14ac:dyDescent="0.25">
      <c r="A442">
        <v>3</v>
      </c>
      <c r="B442">
        <v>629559</v>
      </c>
      <c r="C442" t="s">
        <v>2</v>
      </c>
      <c r="D442">
        <v>1094</v>
      </c>
      <c r="E442">
        <v>43983</v>
      </c>
      <c r="F442">
        <v>4376</v>
      </c>
      <c r="G442">
        <v>1641</v>
      </c>
    </row>
    <row r="443" spans="1:7" x14ac:dyDescent="0.25">
      <c r="A443">
        <v>3</v>
      </c>
      <c r="B443">
        <v>103317</v>
      </c>
      <c r="C443" t="s">
        <v>3</v>
      </c>
      <c r="D443">
        <v>873</v>
      </c>
      <c r="E443">
        <v>43831</v>
      </c>
      <c r="F443">
        <v>4365</v>
      </c>
      <c r="G443">
        <v>1746</v>
      </c>
    </row>
    <row r="444" spans="1:7" x14ac:dyDescent="0.25">
      <c r="A444">
        <v>4</v>
      </c>
      <c r="B444">
        <v>329257</v>
      </c>
      <c r="C444" t="s">
        <v>2</v>
      </c>
      <c r="D444">
        <v>1085</v>
      </c>
      <c r="E444">
        <v>44105</v>
      </c>
      <c r="F444">
        <v>4340</v>
      </c>
      <c r="G444">
        <v>1627.5</v>
      </c>
    </row>
    <row r="445" spans="1:7" x14ac:dyDescent="0.25">
      <c r="A445">
        <v>1</v>
      </c>
      <c r="B445">
        <v>852827</v>
      </c>
      <c r="C445" t="s">
        <v>3</v>
      </c>
      <c r="D445">
        <v>861</v>
      </c>
      <c r="E445">
        <v>44105</v>
      </c>
      <c r="F445">
        <v>4305</v>
      </c>
      <c r="G445">
        <v>1722</v>
      </c>
    </row>
    <row r="446" spans="1:7" x14ac:dyDescent="0.25">
      <c r="A446">
        <v>3</v>
      </c>
      <c r="B446">
        <v>681348</v>
      </c>
      <c r="C446" t="s">
        <v>4</v>
      </c>
      <c r="D446">
        <v>853</v>
      </c>
      <c r="E446">
        <v>44166</v>
      </c>
      <c r="F446">
        <v>4265</v>
      </c>
      <c r="G446">
        <v>1876.6000000000001</v>
      </c>
    </row>
    <row r="447" spans="1:7" x14ac:dyDescent="0.25">
      <c r="A447">
        <v>5</v>
      </c>
      <c r="B447">
        <v>295390</v>
      </c>
      <c r="C447" t="s">
        <v>5</v>
      </c>
      <c r="D447">
        <v>704</v>
      </c>
      <c r="E447">
        <v>43739</v>
      </c>
      <c r="F447">
        <v>4224</v>
      </c>
      <c r="G447">
        <v>1936</v>
      </c>
    </row>
    <row r="448" spans="1:7" x14ac:dyDescent="0.25">
      <c r="A448">
        <v>2</v>
      </c>
      <c r="B448">
        <v>791359</v>
      </c>
      <c r="C448" t="s">
        <v>1</v>
      </c>
      <c r="D448">
        <v>1397</v>
      </c>
      <c r="E448">
        <v>44105</v>
      </c>
      <c r="F448">
        <v>4191</v>
      </c>
      <c r="G448">
        <v>1746.25</v>
      </c>
    </row>
    <row r="449" spans="1:7" x14ac:dyDescent="0.25">
      <c r="A449">
        <v>5</v>
      </c>
      <c r="B449">
        <v>426898</v>
      </c>
      <c r="C449" t="s">
        <v>1</v>
      </c>
      <c r="D449">
        <v>1389</v>
      </c>
      <c r="E449">
        <v>43739</v>
      </c>
      <c r="F449">
        <v>4167</v>
      </c>
      <c r="G449">
        <v>1736.25</v>
      </c>
    </row>
    <row r="450" spans="1:7" x14ac:dyDescent="0.25">
      <c r="A450">
        <v>1</v>
      </c>
      <c r="B450">
        <v>285799</v>
      </c>
      <c r="C450" t="s">
        <v>2</v>
      </c>
      <c r="D450">
        <v>1023</v>
      </c>
      <c r="E450">
        <v>43709</v>
      </c>
      <c r="F450">
        <v>4092</v>
      </c>
      <c r="G450">
        <v>1534.5</v>
      </c>
    </row>
    <row r="451" spans="1:7" x14ac:dyDescent="0.25">
      <c r="A451">
        <v>1</v>
      </c>
      <c r="B451">
        <v>311475</v>
      </c>
      <c r="C451" t="s">
        <v>5</v>
      </c>
      <c r="D451">
        <v>681</v>
      </c>
      <c r="E451">
        <v>43831</v>
      </c>
      <c r="F451">
        <v>4086</v>
      </c>
      <c r="G451">
        <v>1872.75</v>
      </c>
    </row>
    <row r="452" spans="1:7" x14ac:dyDescent="0.25">
      <c r="A452">
        <v>2</v>
      </c>
      <c r="B452">
        <v>296951</v>
      </c>
      <c r="C452" t="s">
        <v>2</v>
      </c>
      <c r="D452">
        <v>1016</v>
      </c>
      <c r="E452">
        <v>43770</v>
      </c>
      <c r="F452">
        <v>4064</v>
      </c>
      <c r="G452">
        <v>1524</v>
      </c>
    </row>
    <row r="453" spans="1:7" x14ac:dyDescent="0.25">
      <c r="A453">
        <v>2</v>
      </c>
      <c r="B453">
        <v>151130</v>
      </c>
      <c r="C453" t="s">
        <v>1</v>
      </c>
      <c r="D453">
        <v>1351.5</v>
      </c>
      <c r="E453">
        <v>43922</v>
      </c>
      <c r="F453">
        <v>4054.5</v>
      </c>
      <c r="G453">
        <v>1689.375</v>
      </c>
    </row>
    <row r="454" spans="1:7" x14ac:dyDescent="0.25">
      <c r="A454">
        <v>4</v>
      </c>
      <c r="B454">
        <v>875012</v>
      </c>
      <c r="C454" t="s">
        <v>3</v>
      </c>
      <c r="D454">
        <v>809</v>
      </c>
      <c r="E454">
        <v>43739</v>
      </c>
      <c r="F454">
        <v>4045</v>
      </c>
      <c r="G454">
        <v>1618</v>
      </c>
    </row>
    <row r="455" spans="1:7" x14ac:dyDescent="0.25">
      <c r="A455">
        <v>5</v>
      </c>
      <c r="B455">
        <v>411519</v>
      </c>
      <c r="C455" t="s">
        <v>2</v>
      </c>
      <c r="D455">
        <v>1010</v>
      </c>
      <c r="E455">
        <v>44105</v>
      </c>
      <c r="F455">
        <v>4040</v>
      </c>
      <c r="G455">
        <v>1515</v>
      </c>
    </row>
    <row r="456" spans="1:7" x14ac:dyDescent="0.25">
      <c r="A456">
        <v>5</v>
      </c>
      <c r="B456">
        <v>608863</v>
      </c>
      <c r="C456" t="s">
        <v>3</v>
      </c>
      <c r="D456">
        <v>807</v>
      </c>
      <c r="E456">
        <v>43831</v>
      </c>
      <c r="F456">
        <v>4035</v>
      </c>
      <c r="G456">
        <v>1614</v>
      </c>
    </row>
    <row r="457" spans="1:7" x14ac:dyDescent="0.25">
      <c r="A457">
        <v>2</v>
      </c>
      <c r="B457">
        <v>253981</v>
      </c>
      <c r="C457" t="s">
        <v>5</v>
      </c>
      <c r="D457">
        <v>663</v>
      </c>
      <c r="E457">
        <v>44075</v>
      </c>
      <c r="F457">
        <v>3978</v>
      </c>
      <c r="G457">
        <v>1823.25</v>
      </c>
    </row>
    <row r="458" spans="1:7" x14ac:dyDescent="0.25">
      <c r="A458">
        <v>5</v>
      </c>
      <c r="B458">
        <v>196520</v>
      </c>
      <c r="C458" t="s">
        <v>5</v>
      </c>
      <c r="D458">
        <v>663</v>
      </c>
      <c r="E458">
        <v>43739</v>
      </c>
      <c r="F458">
        <v>3978</v>
      </c>
      <c r="G458">
        <v>1823.25</v>
      </c>
    </row>
    <row r="459" spans="1:7" x14ac:dyDescent="0.25">
      <c r="A459">
        <v>5</v>
      </c>
      <c r="B459">
        <v>514091</v>
      </c>
      <c r="C459" t="s">
        <v>1</v>
      </c>
      <c r="D459">
        <v>1326</v>
      </c>
      <c r="E459">
        <v>43891</v>
      </c>
      <c r="F459">
        <v>3978</v>
      </c>
      <c r="G459">
        <v>1657.5</v>
      </c>
    </row>
    <row r="460" spans="1:7" x14ac:dyDescent="0.25">
      <c r="A460">
        <v>2</v>
      </c>
      <c r="B460">
        <v>776513</v>
      </c>
      <c r="C460" t="s">
        <v>3</v>
      </c>
      <c r="D460">
        <v>795</v>
      </c>
      <c r="E460">
        <v>43891</v>
      </c>
      <c r="F460">
        <v>3975</v>
      </c>
      <c r="G460">
        <v>1590</v>
      </c>
    </row>
    <row r="461" spans="1:7" x14ac:dyDescent="0.25">
      <c r="A461">
        <v>1</v>
      </c>
      <c r="B461">
        <v>551997</v>
      </c>
      <c r="C461" t="s">
        <v>2</v>
      </c>
      <c r="D461">
        <v>991</v>
      </c>
      <c r="E461">
        <v>43983</v>
      </c>
      <c r="F461">
        <v>3964</v>
      </c>
      <c r="G461">
        <v>1486.5</v>
      </c>
    </row>
    <row r="462" spans="1:7" x14ac:dyDescent="0.25">
      <c r="A462">
        <v>3</v>
      </c>
      <c r="B462">
        <v>899629</v>
      </c>
      <c r="C462" t="s">
        <v>5</v>
      </c>
      <c r="D462">
        <v>660</v>
      </c>
      <c r="E462">
        <v>43709</v>
      </c>
      <c r="F462">
        <v>3960</v>
      </c>
      <c r="G462">
        <v>1815</v>
      </c>
    </row>
    <row r="463" spans="1:7" x14ac:dyDescent="0.25">
      <c r="A463">
        <v>5</v>
      </c>
      <c r="B463">
        <v>505339</v>
      </c>
      <c r="C463" t="s">
        <v>3</v>
      </c>
      <c r="D463">
        <v>788</v>
      </c>
      <c r="E463">
        <v>43709</v>
      </c>
      <c r="F463">
        <v>3940</v>
      </c>
      <c r="G463">
        <v>1576</v>
      </c>
    </row>
    <row r="464" spans="1:7" x14ac:dyDescent="0.25">
      <c r="A464">
        <v>3</v>
      </c>
      <c r="B464">
        <v>387444</v>
      </c>
      <c r="C464" t="s">
        <v>3</v>
      </c>
      <c r="D464">
        <v>787</v>
      </c>
      <c r="E464">
        <v>43983</v>
      </c>
      <c r="F464">
        <v>3935</v>
      </c>
      <c r="G464">
        <v>1574</v>
      </c>
    </row>
    <row r="465" spans="1:7" x14ac:dyDescent="0.25">
      <c r="A465">
        <v>4</v>
      </c>
      <c r="B465">
        <v>573970</v>
      </c>
      <c r="C465" t="s">
        <v>5</v>
      </c>
      <c r="D465">
        <v>655</v>
      </c>
      <c r="E465">
        <v>43709</v>
      </c>
      <c r="F465">
        <v>3930</v>
      </c>
      <c r="G465">
        <v>1801.25</v>
      </c>
    </row>
    <row r="466" spans="1:7" x14ac:dyDescent="0.25">
      <c r="A466">
        <v>5</v>
      </c>
      <c r="B466">
        <v>510933</v>
      </c>
      <c r="C466" t="s">
        <v>1</v>
      </c>
      <c r="D466">
        <v>1281</v>
      </c>
      <c r="E466">
        <v>43800</v>
      </c>
      <c r="F466">
        <v>3843</v>
      </c>
      <c r="G466">
        <v>1601.25</v>
      </c>
    </row>
    <row r="467" spans="1:7" x14ac:dyDescent="0.25">
      <c r="A467">
        <v>2</v>
      </c>
      <c r="B467">
        <v>897372</v>
      </c>
      <c r="C467" t="s">
        <v>5</v>
      </c>
      <c r="D467">
        <v>639</v>
      </c>
      <c r="E467">
        <v>44013</v>
      </c>
      <c r="F467">
        <v>3834</v>
      </c>
      <c r="G467">
        <v>1757.25</v>
      </c>
    </row>
    <row r="468" spans="1:7" x14ac:dyDescent="0.25">
      <c r="A468">
        <v>3</v>
      </c>
      <c r="B468">
        <v>584477</v>
      </c>
      <c r="C468" t="s">
        <v>5</v>
      </c>
      <c r="D468">
        <v>639</v>
      </c>
      <c r="E468">
        <v>44136</v>
      </c>
      <c r="F468">
        <v>3834</v>
      </c>
      <c r="G468">
        <v>1757.25</v>
      </c>
    </row>
    <row r="469" spans="1:7" x14ac:dyDescent="0.25">
      <c r="A469">
        <v>5</v>
      </c>
      <c r="B469">
        <v>238791</v>
      </c>
      <c r="C469" t="s">
        <v>3</v>
      </c>
      <c r="D469">
        <v>766</v>
      </c>
      <c r="E469">
        <v>43739</v>
      </c>
      <c r="F469">
        <v>3830</v>
      </c>
      <c r="G469">
        <v>1532</v>
      </c>
    </row>
    <row r="470" spans="1:7" x14ac:dyDescent="0.25">
      <c r="A470">
        <v>3</v>
      </c>
      <c r="B470">
        <v>751314</v>
      </c>
      <c r="C470" t="s">
        <v>5</v>
      </c>
      <c r="D470">
        <v>635</v>
      </c>
      <c r="E470">
        <v>44166</v>
      </c>
      <c r="F470">
        <v>3810</v>
      </c>
      <c r="G470">
        <v>1746.25</v>
      </c>
    </row>
    <row r="471" spans="1:7" x14ac:dyDescent="0.25">
      <c r="A471">
        <v>4</v>
      </c>
      <c r="B471">
        <v>156617</v>
      </c>
      <c r="C471" t="s">
        <v>0</v>
      </c>
      <c r="D471">
        <v>3802.5</v>
      </c>
      <c r="E471">
        <v>43922</v>
      </c>
      <c r="F471">
        <v>3802.5</v>
      </c>
      <c r="G471">
        <v>1901.25</v>
      </c>
    </row>
    <row r="472" spans="1:7" x14ac:dyDescent="0.25">
      <c r="A472">
        <v>3</v>
      </c>
      <c r="B472">
        <v>646205</v>
      </c>
      <c r="C472" t="s">
        <v>1</v>
      </c>
      <c r="D472">
        <v>1265</v>
      </c>
      <c r="E472">
        <v>43770</v>
      </c>
      <c r="F472">
        <v>3795</v>
      </c>
      <c r="G472">
        <v>1581.25</v>
      </c>
    </row>
    <row r="473" spans="1:7" x14ac:dyDescent="0.25">
      <c r="A473">
        <v>2</v>
      </c>
      <c r="B473">
        <v>320688</v>
      </c>
      <c r="C473" t="s">
        <v>3</v>
      </c>
      <c r="D473">
        <v>747</v>
      </c>
      <c r="E473">
        <v>44075</v>
      </c>
      <c r="F473">
        <v>3735</v>
      </c>
      <c r="G473">
        <v>1494</v>
      </c>
    </row>
    <row r="474" spans="1:7" x14ac:dyDescent="0.25">
      <c r="A474">
        <v>3</v>
      </c>
      <c r="B474">
        <v>871331</v>
      </c>
      <c r="C474" t="s">
        <v>1</v>
      </c>
      <c r="D474">
        <v>1233</v>
      </c>
      <c r="E474">
        <v>44166</v>
      </c>
      <c r="F474">
        <v>3699</v>
      </c>
      <c r="G474">
        <v>1541.25</v>
      </c>
    </row>
    <row r="475" spans="1:7" x14ac:dyDescent="0.25">
      <c r="A475">
        <v>3</v>
      </c>
      <c r="B475">
        <v>602911</v>
      </c>
      <c r="C475" t="s">
        <v>2</v>
      </c>
      <c r="D475">
        <v>923</v>
      </c>
      <c r="E475">
        <v>43891</v>
      </c>
      <c r="F475">
        <v>3692</v>
      </c>
      <c r="G475">
        <v>1384.5</v>
      </c>
    </row>
    <row r="476" spans="1:7" x14ac:dyDescent="0.25">
      <c r="A476">
        <v>2</v>
      </c>
      <c r="B476">
        <v>699845</v>
      </c>
      <c r="C476" t="s">
        <v>1</v>
      </c>
      <c r="D476">
        <v>1227</v>
      </c>
      <c r="E476">
        <v>44105</v>
      </c>
      <c r="F476">
        <v>3681</v>
      </c>
      <c r="G476">
        <v>1533.75</v>
      </c>
    </row>
    <row r="477" spans="1:7" x14ac:dyDescent="0.25">
      <c r="A477">
        <v>2</v>
      </c>
      <c r="B477">
        <v>425472</v>
      </c>
      <c r="C477" t="s">
        <v>1</v>
      </c>
      <c r="D477">
        <v>1221</v>
      </c>
      <c r="E477">
        <v>43739</v>
      </c>
      <c r="F477">
        <v>3663</v>
      </c>
      <c r="G477">
        <v>1526.25</v>
      </c>
    </row>
    <row r="478" spans="1:7" x14ac:dyDescent="0.25">
      <c r="A478">
        <v>1</v>
      </c>
      <c r="B478">
        <v>741049</v>
      </c>
      <c r="C478" t="s">
        <v>5</v>
      </c>
      <c r="D478">
        <v>609</v>
      </c>
      <c r="E478">
        <v>44044</v>
      </c>
      <c r="F478">
        <v>3654</v>
      </c>
      <c r="G478">
        <v>1674.75</v>
      </c>
    </row>
    <row r="479" spans="1:7" x14ac:dyDescent="0.25">
      <c r="A479">
        <v>1</v>
      </c>
      <c r="B479">
        <v>349645</v>
      </c>
      <c r="C479" t="s">
        <v>5</v>
      </c>
      <c r="D479">
        <v>606</v>
      </c>
      <c r="E479">
        <v>43922</v>
      </c>
      <c r="F479">
        <v>3636</v>
      </c>
      <c r="G479">
        <v>1666.5</v>
      </c>
    </row>
    <row r="480" spans="1:7" x14ac:dyDescent="0.25">
      <c r="A480">
        <v>3</v>
      </c>
      <c r="B480">
        <v>698573</v>
      </c>
      <c r="C480" t="s">
        <v>4</v>
      </c>
      <c r="D480">
        <v>727</v>
      </c>
      <c r="E480">
        <v>43739</v>
      </c>
      <c r="F480">
        <v>3635</v>
      </c>
      <c r="G480">
        <v>1599.4</v>
      </c>
    </row>
    <row r="481" spans="1:7" x14ac:dyDescent="0.25">
      <c r="A481">
        <v>4</v>
      </c>
      <c r="B481">
        <v>885205</v>
      </c>
      <c r="C481" t="s">
        <v>3</v>
      </c>
      <c r="D481">
        <v>727</v>
      </c>
      <c r="E481">
        <v>43983</v>
      </c>
      <c r="F481">
        <v>3635</v>
      </c>
      <c r="G481">
        <v>1454</v>
      </c>
    </row>
    <row r="482" spans="1:7" x14ac:dyDescent="0.25">
      <c r="A482">
        <v>5</v>
      </c>
      <c r="B482">
        <v>758323</v>
      </c>
      <c r="C482" t="s">
        <v>3</v>
      </c>
      <c r="D482">
        <v>727</v>
      </c>
      <c r="E482">
        <v>43739</v>
      </c>
      <c r="F482">
        <v>3635</v>
      </c>
      <c r="G482">
        <v>1454</v>
      </c>
    </row>
    <row r="483" spans="1:7" x14ac:dyDescent="0.25">
      <c r="A483">
        <v>4</v>
      </c>
      <c r="B483">
        <v>249563</v>
      </c>
      <c r="C483" t="s">
        <v>2</v>
      </c>
      <c r="D483">
        <v>908</v>
      </c>
      <c r="E483">
        <v>43800</v>
      </c>
      <c r="F483">
        <v>3632</v>
      </c>
      <c r="G483">
        <v>1362</v>
      </c>
    </row>
    <row r="484" spans="1:7" x14ac:dyDescent="0.25">
      <c r="A484">
        <v>4</v>
      </c>
      <c r="B484">
        <v>746705</v>
      </c>
      <c r="C484" t="s">
        <v>0</v>
      </c>
      <c r="D484">
        <v>3627</v>
      </c>
      <c r="E484">
        <v>44013</v>
      </c>
      <c r="F484">
        <v>3627</v>
      </c>
      <c r="G484">
        <v>1813.5</v>
      </c>
    </row>
    <row r="485" spans="1:7" x14ac:dyDescent="0.25">
      <c r="A485">
        <v>1</v>
      </c>
      <c r="B485">
        <v>135967</v>
      </c>
      <c r="C485" t="s">
        <v>5</v>
      </c>
      <c r="D485">
        <v>604</v>
      </c>
      <c r="E485">
        <v>43983</v>
      </c>
      <c r="F485">
        <v>3624</v>
      </c>
      <c r="G485">
        <v>1661</v>
      </c>
    </row>
    <row r="486" spans="1:7" x14ac:dyDescent="0.25">
      <c r="A486">
        <v>4</v>
      </c>
      <c r="B486">
        <v>170761</v>
      </c>
      <c r="C486" t="s">
        <v>3</v>
      </c>
      <c r="D486">
        <v>723</v>
      </c>
      <c r="E486">
        <v>43922</v>
      </c>
      <c r="F486">
        <v>3615</v>
      </c>
      <c r="G486">
        <v>1446</v>
      </c>
    </row>
    <row r="487" spans="1:7" x14ac:dyDescent="0.25">
      <c r="A487">
        <v>4</v>
      </c>
      <c r="B487">
        <v>192398</v>
      </c>
      <c r="C487" t="s">
        <v>5</v>
      </c>
      <c r="D487">
        <v>602</v>
      </c>
      <c r="E487">
        <v>43983</v>
      </c>
      <c r="F487">
        <v>3612</v>
      </c>
      <c r="G487">
        <v>1655.5</v>
      </c>
    </row>
    <row r="488" spans="1:7" x14ac:dyDescent="0.25">
      <c r="A488">
        <v>1</v>
      </c>
      <c r="B488">
        <v>856865</v>
      </c>
      <c r="C488" t="s">
        <v>5</v>
      </c>
      <c r="D488">
        <v>598</v>
      </c>
      <c r="E488">
        <v>43891</v>
      </c>
      <c r="F488">
        <v>3588</v>
      </c>
      <c r="G488">
        <v>1644.5</v>
      </c>
    </row>
    <row r="489" spans="1:7" x14ac:dyDescent="0.25">
      <c r="A489">
        <v>5</v>
      </c>
      <c r="B489">
        <v>103888</v>
      </c>
      <c r="C489" t="s">
        <v>4</v>
      </c>
      <c r="D489">
        <v>711</v>
      </c>
      <c r="E489">
        <v>44166</v>
      </c>
      <c r="F489">
        <v>3555</v>
      </c>
      <c r="G489">
        <v>1564.2</v>
      </c>
    </row>
    <row r="490" spans="1:7" x14ac:dyDescent="0.25">
      <c r="A490">
        <v>3</v>
      </c>
      <c r="B490">
        <v>361699</v>
      </c>
      <c r="C490" t="s">
        <v>2</v>
      </c>
      <c r="D490">
        <v>888</v>
      </c>
      <c r="E490">
        <v>43983</v>
      </c>
      <c r="F490">
        <v>3552</v>
      </c>
      <c r="G490">
        <v>1332</v>
      </c>
    </row>
    <row r="491" spans="1:7" x14ac:dyDescent="0.25">
      <c r="A491">
        <v>3</v>
      </c>
      <c r="B491">
        <v>847678</v>
      </c>
      <c r="C491" t="s">
        <v>2</v>
      </c>
      <c r="D491">
        <v>887</v>
      </c>
      <c r="E491">
        <v>43800</v>
      </c>
      <c r="F491">
        <v>3548</v>
      </c>
      <c r="G491">
        <v>1330.5</v>
      </c>
    </row>
    <row r="492" spans="1:7" x14ac:dyDescent="0.25">
      <c r="A492">
        <v>4</v>
      </c>
      <c r="B492">
        <v>533938</v>
      </c>
      <c r="C492" t="s">
        <v>2</v>
      </c>
      <c r="D492">
        <v>886</v>
      </c>
      <c r="E492">
        <v>43983</v>
      </c>
      <c r="F492">
        <v>3544</v>
      </c>
      <c r="G492">
        <v>1329</v>
      </c>
    </row>
    <row r="493" spans="1:7" x14ac:dyDescent="0.25">
      <c r="A493">
        <v>4</v>
      </c>
      <c r="B493">
        <v>137921</v>
      </c>
      <c r="C493" t="s">
        <v>4</v>
      </c>
      <c r="D493">
        <v>708</v>
      </c>
      <c r="E493">
        <v>43983</v>
      </c>
      <c r="F493">
        <v>3540</v>
      </c>
      <c r="G493">
        <v>1557.6000000000001</v>
      </c>
    </row>
    <row r="494" spans="1:7" x14ac:dyDescent="0.25">
      <c r="A494">
        <v>3</v>
      </c>
      <c r="B494">
        <v>267107</v>
      </c>
      <c r="C494" t="s">
        <v>4</v>
      </c>
      <c r="D494">
        <v>707</v>
      </c>
      <c r="E494">
        <v>44075</v>
      </c>
      <c r="F494">
        <v>3535</v>
      </c>
      <c r="G494">
        <v>1555.4</v>
      </c>
    </row>
    <row r="495" spans="1:7" x14ac:dyDescent="0.25">
      <c r="A495">
        <v>3</v>
      </c>
      <c r="B495">
        <v>629523</v>
      </c>
      <c r="C495" t="s">
        <v>5</v>
      </c>
      <c r="D495">
        <v>588</v>
      </c>
      <c r="E495">
        <v>43800</v>
      </c>
      <c r="F495">
        <v>3528</v>
      </c>
      <c r="G495">
        <v>1617</v>
      </c>
    </row>
    <row r="496" spans="1:7" x14ac:dyDescent="0.25">
      <c r="A496">
        <v>2</v>
      </c>
      <c r="B496">
        <v>330030</v>
      </c>
      <c r="C496" t="s">
        <v>1</v>
      </c>
      <c r="D496">
        <v>1175</v>
      </c>
      <c r="E496">
        <v>44105</v>
      </c>
      <c r="F496">
        <v>3525</v>
      </c>
      <c r="G496">
        <v>1468.75</v>
      </c>
    </row>
    <row r="497" spans="1:7" x14ac:dyDescent="0.25">
      <c r="A497">
        <v>1</v>
      </c>
      <c r="B497">
        <v>567484</v>
      </c>
      <c r="C497" t="s">
        <v>3</v>
      </c>
      <c r="D497">
        <v>704</v>
      </c>
      <c r="E497">
        <v>43739</v>
      </c>
      <c r="F497">
        <v>3520</v>
      </c>
      <c r="G497">
        <v>1408</v>
      </c>
    </row>
    <row r="498" spans="1:7" x14ac:dyDescent="0.25">
      <c r="A498">
        <v>5</v>
      </c>
      <c r="B498">
        <v>778322</v>
      </c>
      <c r="C498" t="s">
        <v>3</v>
      </c>
      <c r="D498">
        <v>700</v>
      </c>
      <c r="E498">
        <v>44136</v>
      </c>
      <c r="F498">
        <v>3500</v>
      </c>
      <c r="G498">
        <v>1400</v>
      </c>
    </row>
    <row r="499" spans="1:7" x14ac:dyDescent="0.25">
      <c r="A499">
        <v>4</v>
      </c>
      <c r="B499">
        <v>666684</v>
      </c>
      <c r="C499" t="s">
        <v>1</v>
      </c>
      <c r="D499">
        <v>1153</v>
      </c>
      <c r="E499">
        <v>44105</v>
      </c>
      <c r="F499">
        <v>3459</v>
      </c>
      <c r="G499">
        <v>1441.25</v>
      </c>
    </row>
    <row r="500" spans="1:7" x14ac:dyDescent="0.25">
      <c r="A500">
        <v>3</v>
      </c>
      <c r="B500">
        <v>578401</v>
      </c>
      <c r="C500" t="s">
        <v>3</v>
      </c>
      <c r="D500">
        <v>689</v>
      </c>
      <c r="E500">
        <v>43983</v>
      </c>
      <c r="F500">
        <v>3445</v>
      </c>
      <c r="G500">
        <v>1378</v>
      </c>
    </row>
    <row r="501" spans="1:7" x14ac:dyDescent="0.25">
      <c r="A501">
        <v>2</v>
      </c>
      <c r="B501">
        <v>609418</v>
      </c>
      <c r="C501" t="s">
        <v>5</v>
      </c>
      <c r="D501">
        <v>567</v>
      </c>
      <c r="E501">
        <v>44075</v>
      </c>
      <c r="F501">
        <v>3402</v>
      </c>
      <c r="G501">
        <v>1559.25</v>
      </c>
    </row>
    <row r="502" spans="1:7" x14ac:dyDescent="0.25">
      <c r="A502">
        <v>5</v>
      </c>
      <c r="B502">
        <v>456841</v>
      </c>
      <c r="C502" t="s">
        <v>3</v>
      </c>
      <c r="D502">
        <v>678</v>
      </c>
      <c r="E502">
        <v>44044</v>
      </c>
      <c r="F502">
        <v>3390</v>
      </c>
      <c r="G502">
        <v>1356</v>
      </c>
    </row>
    <row r="503" spans="1:7" x14ac:dyDescent="0.25">
      <c r="A503">
        <v>5</v>
      </c>
      <c r="B503">
        <v>441711</v>
      </c>
      <c r="C503" t="s">
        <v>1</v>
      </c>
      <c r="D503">
        <v>1123</v>
      </c>
      <c r="E503">
        <v>43770</v>
      </c>
      <c r="F503">
        <v>3369</v>
      </c>
      <c r="G503">
        <v>1403.75</v>
      </c>
    </row>
    <row r="504" spans="1:7" x14ac:dyDescent="0.25">
      <c r="A504">
        <v>1</v>
      </c>
      <c r="B504">
        <v>707858</v>
      </c>
      <c r="C504" t="s">
        <v>3</v>
      </c>
      <c r="D504">
        <v>671</v>
      </c>
      <c r="E504">
        <v>43739</v>
      </c>
      <c r="F504">
        <v>3355</v>
      </c>
      <c r="G504">
        <v>1342</v>
      </c>
    </row>
    <row r="505" spans="1:7" x14ac:dyDescent="0.25">
      <c r="A505">
        <v>4</v>
      </c>
      <c r="B505">
        <v>397008</v>
      </c>
      <c r="C505" t="s">
        <v>4</v>
      </c>
      <c r="D505">
        <v>671</v>
      </c>
      <c r="E505">
        <v>43739</v>
      </c>
      <c r="F505">
        <v>3355</v>
      </c>
      <c r="G505">
        <v>1476.2</v>
      </c>
    </row>
    <row r="506" spans="1:7" x14ac:dyDescent="0.25">
      <c r="A506">
        <v>1</v>
      </c>
      <c r="B506">
        <v>197116</v>
      </c>
      <c r="C506" t="s">
        <v>5</v>
      </c>
      <c r="D506">
        <v>555</v>
      </c>
      <c r="E506">
        <v>43831</v>
      </c>
      <c r="F506">
        <v>3330</v>
      </c>
      <c r="G506">
        <v>1526.25</v>
      </c>
    </row>
    <row r="507" spans="1:7" x14ac:dyDescent="0.25">
      <c r="A507">
        <v>1</v>
      </c>
      <c r="B507">
        <v>355733</v>
      </c>
      <c r="C507" t="s">
        <v>2</v>
      </c>
      <c r="D507">
        <v>831</v>
      </c>
      <c r="E507">
        <v>43952</v>
      </c>
      <c r="F507">
        <v>3324</v>
      </c>
      <c r="G507">
        <v>1246.5</v>
      </c>
    </row>
    <row r="508" spans="1:7" x14ac:dyDescent="0.25">
      <c r="A508">
        <v>5</v>
      </c>
      <c r="B508">
        <v>847203</v>
      </c>
      <c r="C508" t="s">
        <v>3</v>
      </c>
      <c r="D508">
        <v>662</v>
      </c>
      <c r="E508">
        <v>43983</v>
      </c>
      <c r="F508">
        <v>3310</v>
      </c>
      <c r="G508">
        <v>1324</v>
      </c>
    </row>
    <row r="509" spans="1:7" x14ac:dyDescent="0.25">
      <c r="A509">
        <v>3</v>
      </c>
      <c r="B509">
        <v>433084</v>
      </c>
      <c r="C509" t="s">
        <v>5</v>
      </c>
      <c r="D509">
        <v>547</v>
      </c>
      <c r="E509">
        <v>44136</v>
      </c>
      <c r="F509">
        <v>3282</v>
      </c>
      <c r="G509">
        <v>1504.25</v>
      </c>
    </row>
    <row r="510" spans="1:7" x14ac:dyDescent="0.25">
      <c r="A510">
        <v>4</v>
      </c>
      <c r="B510">
        <v>865204</v>
      </c>
      <c r="C510" t="s">
        <v>2</v>
      </c>
      <c r="D510">
        <v>819</v>
      </c>
      <c r="E510">
        <v>44013</v>
      </c>
      <c r="F510">
        <v>3276</v>
      </c>
      <c r="G510">
        <v>1228.5</v>
      </c>
    </row>
    <row r="511" spans="1:7" x14ac:dyDescent="0.25">
      <c r="A511">
        <v>5</v>
      </c>
      <c r="B511">
        <v>214845</v>
      </c>
      <c r="C511" t="s">
        <v>5</v>
      </c>
      <c r="D511">
        <v>544</v>
      </c>
      <c r="E511">
        <v>43800</v>
      </c>
      <c r="F511">
        <v>3264</v>
      </c>
      <c r="G511">
        <v>1496</v>
      </c>
    </row>
    <row r="512" spans="1:7" x14ac:dyDescent="0.25">
      <c r="A512">
        <v>5</v>
      </c>
      <c r="B512">
        <v>372739</v>
      </c>
      <c r="C512" t="s">
        <v>2</v>
      </c>
      <c r="D512">
        <v>801</v>
      </c>
      <c r="E512">
        <v>44013</v>
      </c>
      <c r="F512">
        <v>3204</v>
      </c>
      <c r="G512">
        <v>1201.5</v>
      </c>
    </row>
    <row r="513" spans="1:7" x14ac:dyDescent="0.25">
      <c r="A513">
        <v>3</v>
      </c>
      <c r="B513">
        <v>480891</v>
      </c>
      <c r="C513" t="s">
        <v>4</v>
      </c>
      <c r="D513">
        <v>635</v>
      </c>
      <c r="E513">
        <v>44166</v>
      </c>
      <c r="F513">
        <v>3175</v>
      </c>
      <c r="G513">
        <v>1397</v>
      </c>
    </row>
    <row r="514" spans="1:7" x14ac:dyDescent="0.25">
      <c r="A514">
        <v>5</v>
      </c>
      <c r="B514">
        <v>242657</v>
      </c>
      <c r="C514" t="s">
        <v>2</v>
      </c>
      <c r="D514">
        <v>792</v>
      </c>
      <c r="E514">
        <v>43891</v>
      </c>
      <c r="F514">
        <v>3168</v>
      </c>
      <c r="G514">
        <v>1188</v>
      </c>
    </row>
    <row r="515" spans="1:7" x14ac:dyDescent="0.25">
      <c r="A515">
        <v>2</v>
      </c>
      <c r="B515">
        <v>183779</v>
      </c>
      <c r="C515" t="s">
        <v>4</v>
      </c>
      <c r="D515">
        <v>615</v>
      </c>
      <c r="E515">
        <v>44166</v>
      </c>
      <c r="F515">
        <v>3075</v>
      </c>
      <c r="G515">
        <v>1353</v>
      </c>
    </row>
    <row r="516" spans="1:7" x14ac:dyDescent="0.25">
      <c r="A516">
        <v>3</v>
      </c>
      <c r="B516">
        <v>576749</v>
      </c>
      <c r="C516" t="s">
        <v>2</v>
      </c>
      <c r="D516">
        <v>766</v>
      </c>
      <c r="E516">
        <v>43739</v>
      </c>
      <c r="F516">
        <v>3064</v>
      </c>
      <c r="G516">
        <v>1149</v>
      </c>
    </row>
    <row r="517" spans="1:7" x14ac:dyDescent="0.25">
      <c r="A517">
        <v>4</v>
      </c>
      <c r="B517">
        <v>581762</v>
      </c>
      <c r="C517" t="s">
        <v>5</v>
      </c>
      <c r="D517">
        <v>510</v>
      </c>
      <c r="E517">
        <v>43922</v>
      </c>
      <c r="F517">
        <v>3060</v>
      </c>
      <c r="G517">
        <v>1402.5</v>
      </c>
    </row>
    <row r="518" spans="1:7" x14ac:dyDescent="0.25">
      <c r="A518">
        <v>5</v>
      </c>
      <c r="B518">
        <v>208723</v>
      </c>
      <c r="C518" t="s">
        <v>1</v>
      </c>
      <c r="D518">
        <v>1010</v>
      </c>
      <c r="E518">
        <v>44105</v>
      </c>
      <c r="F518">
        <v>3030</v>
      </c>
      <c r="G518">
        <v>1262.5</v>
      </c>
    </row>
    <row r="519" spans="1:7" x14ac:dyDescent="0.25">
      <c r="A519">
        <v>5</v>
      </c>
      <c r="B519">
        <v>808356</v>
      </c>
      <c r="C519" t="s">
        <v>1</v>
      </c>
      <c r="D519">
        <v>1005</v>
      </c>
      <c r="E519">
        <v>43709</v>
      </c>
      <c r="F519">
        <v>3015</v>
      </c>
      <c r="G519">
        <v>1256.25</v>
      </c>
    </row>
    <row r="520" spans="1:7" x14ac:dyDescent="0.25">
      <c r="A520">
        <v>2</v>
      </c>
      <c r="B520">
        <v>369627</v>
      </c>
      <c r="C520" t="s">
        <v>3</v>
      </c>
      <c r="D520">
        <v>602</v>
      </c>
      <c r="E520">
        <v>43983</v>
      </c>
      <c r="F520">
        <v>3010</v>
      </c>
      <c r="G520">
        <v>1204</v>
      </c>
    </row>
    <row r="521" spans="1:7" x14ac:dyDescent="0.25">
      <c r="A521">
        <v>1</v>
      </c>
      <c r="B521">
        <v>600167</v>
      </c>
      <c r="C521" t="s">
        <v>5</v>
      </c>
      <c r="D521">
        <v>500</v>
      </c>
      <c r="E521">
        <v>43891</v>
      </c>
      <c r="F521">
        <v>3000</v>
      </c>
      <c r="G521">
        <v>1375</v>
      </c>
    </row>
    <row r="522" spans="1:7" x14ac:dyDescent="0.25">
      <c r="A522">
        <v>3</v>
      </c>
      <c r="B522">
        <v>295198</v>
      </c>
      <c r="C522" t="s">
        <v>0</v>
      </c>
      <c r="D522">
        <v>2996</v>
      </c>
      <c r="E522">
        <v>43739</v>
      </c>
      <c r="F522">
        <v>2996</v>
      </c>
      <c r="G522">
        <v>1498</v>
      </c>
    </row>
    <row r="523" spans="1:7" x14ac:dyDescent="0.25">
      <c r="A523">
        <v>5</v>
      </c>
      <c r="B523">
        <v>644686</v>
      </c>
      <c r="C523" t="s">
        <v>0</v>
      </c>
      <c r="D523">
        <v>2992</v>
      </c>
      <c r="E523">
        <v>43739</v>
      </c>
      <c r="F523">
        <v>2992</v>
      </c>
      <c r="G523">
        <v>1496</v>
      </c>
    </row>
    <row r="524" spans="1:7" x14ac:dyDescent="0.25">
      <c r="A524">
        <v>1</v>
      </c>
      <c r="B524">
        <v>178855</v>
      </c>
      <c r="C524" t="s">
        <v>2</v>
      </c>
      <c r="D524">
        <v>742.5</v>
      </c>
      <c r="E524">
        <v>43922</v>
      </c>
      <c r="F524">
        <v>2970</v>
      </c>
      <c r="G524">
        <v>1113.75</v>
      </c>
    </row>
    <row r="525" spans="1:7" x14ac:dyDescent="0.25">
      <c r="A525">
        <v>1</v>
      </c>
      <c r="B525">
        <v>305275</v>
      </c>
      <c r="C525" t="s">
        <v>1</v>
      </c>
      <c r="D525">
        <v>986</v>
      </c>
      <c r="E525">
        <v>44105</v>
      </c>
      <c r="F525">
        <v>2958</v>
      </c>
      <c r="G525">
        <v>1232.5</v>
      </c>
    </row>
    <row r="526" spans="1:7" x14ac:dyDescent="0.25">
      <c r="A526">
        <v>2</v>
      </c>
      <c r="B526">
        <v>354480</v>
      </c>
      <c r="C526" t="s">
        <v>1</v>
      </c>
      <c r="D526">
        <v>986</v>
      </c>
      <c r="E526">
        <v>44075</v>
      </c>
      <c r="F526">
        <v>2958</v>
      </c>
      <c r="G526">
        <v>1232.5</v>
      </c>
    </row>
    <row r="527" spans="1:7" x14ac:dyDescent="0.25">
      <c r="A527">
        <v>4</v>
      </c>
      <c r="B527">
        <v>197639</v>
      </c>
      <c r="C527" t="s">
        <v>3</v>
      </c>
      <c r="D527">
        <v>591</v>
      </c>
      <c r="E527">
        <v>43952</v>
      </c>
      <c r="F527">
        <v>2955</v>
      </c>
      <c r="G527">
        <v>1182</v>
      </c>
    </row>
    <row r="528" spans="1:7" x14ac:dyDescent="0.25">
      <c r="A528">
        <v>5</v>
      </c>
      <c r="B528">
        <v>421883</v>
      </c>
      <c r="C528" t="s">
        <v>2</v>
      </c>
      <c r="D528">
        <v>727</v>
      </c>
      <c r="E528">
        <v>43862</v>
      </c>
      <c r="F528">
        <v>2908</v>
      </c>
      <c r="G528">
        <v>1090.5</v>
      </c>
    </row>
    <row r="529" spans="1:7" x14ac:dyDescent="0.25">
      <c r="A529">
        <v>4</v>
      </c>
      <c r="B529">
        <v>884057</v>
      </c>
      <c r="C529" t="s">
        <v>4</v>
      </c>
      <c r="D529">
        <v>579</v>
      </c>
      <c r="E529">
        <v>43831</v>
      </c>
      <c r="F529">
        <v>2895</v>
      </c>
      <c r="G529">
        <v>1273.8000000000002</v>
      </c>
    </row>
    <row r="530" spans="1:7" x14ac:dyDescent="0.25">
      <c r="A530">
        <v>5</v>
      </c>
      <c r="B530">
        <v>619210</v>
      </c>
      <c r="C530" t="s">
        <v>1</v>
      </c>
      <c r="D530">
        <v>959</v>
      </c>
      <c r="E530">
        <v>43862</v>
      </c>
      <c r="F530">
        <v>2877</v>
      </c>
      <c r="G530">
        <v>1198.75</v>
      </c>
    </row>
    <row r="531" spans="1:7" x14ac:dyDescent="0.25">
      <c r="A531">
        <v>4</v>
      </c>
      <c r="B531">
        <v>868182</v>
      </c>
      <c r="C531" t="s">
        <v>3</v>
      </c>
      <c r="D531">
        <v>571</v>
      </c>
      <c r="E531">
        <v>44013</v>
      </c>
      <c r="F531">
        <v>2855</v>
      </c>
      <c r="G531">
        <v>1142</v>
      </c>
    </row>
    <row r="532" spans="1:7" x14ac:dyDescent="0.25">
      <c r="A532">
        <v>3</v>
      </c>
      <c r="B532">
        <v>873031</v>
      </c>
      <c r="C532" t="s">
        <v>0</v>
      </c>
      <c r="D532">
        <v>2851</v>
      </c>
      <c r="E532">
        <v>43739</v>
      </c>
      <c r="F532">
        <v>2851</v>
      </c>
      <c r="G532">
        <v>1425.5</v>
      </c>
    </row>
    <row r="533" spans="1:7" x14ac:dyDescent="0.25">
      <c r="A533">
        <v>2</v>
      </c>
      <c r="B533">
        <v>885051</v>
      </c>
      <c r="C533" t="s">
        <v>5</v>
      </c>
      <c r="D533">
        <v>472</v>
      </c>
      <c r="E533">
        <v>44105</v>
      </c>
      <c r="F533">
        <v>2832</v>
      </c>
      <c r="G533">
        <v>1298</v>
      </c>
    </row>
    <row r="534" spans="1:7" x14ac:dyDescent="0.25">
      <c r="A534">
        <v>1</v>
      </c>
      <c r="B534">
        <v>540473</v>
      </c>
      <c r="C534" t="s">
        <v>1</v>
      </c>
      <c r="D534">
        <v>943.5</v>
      </c>
      <c r="E534">
        <v>43922</v>
      </c>
      <c r="F534">
        <v>2830.5</v>
      </c>
      <c r="G534">
        <v>1179.375</v>
      </c>
    </row>
    <row r="535" spans="1:7" x14ac:dyDescent="0.25">
      <c r="A535">
        <v>3</v>
      </c>
      <c r="B535">
        <v>390387</v>
      </c>
      <c r="C535" t="s">
        <v>0</v>
      </c>
      <c r="D535">
        <v>2797</v>
      </c>
      <c r="E535">
        <v>44166</v>
      </c>
      <c r="F535">
        <v>2797</v>
      </c>
      <c r="G535">
        <v>1398.5</v>
      </c>
    </row>
    <row r="536" spans="1:7" x14ac:dyDescent="0.25">
      <c r="A536">
        <v>4</v>
      </c>
      <c r="B536">
        <v>399302</v>
      </c>
      <c r="C536" t="s">
        <v>4</v>
      </c>
      <c r="D536">
        <v>552</v>
      </c>
      <c r="E536">
        <v>44044</v>
      </c>
      <c r="F536">
        <v>2760</v>
      </c>
      <c r="G536">
        <v>1214.4000000000001</v>
      </c>
    </row>
    <row r="537" spans="1:7" x14ac:dyDescent="0.25">
      <c r="A537">
        <v>3</v>
      </c>
      <c r="B537">
        <v>745878</v>
      </c>
      <c r="C537" t="s">
        <v>2</v>
      </c>
      <c r="D537">
        <v>689</v>
      </c>
      <c r="E537">
        <v>43983</v>
      </c>
      <c r="F537">
        <v>2756</v>
      </c>
      <c r="G537">
        <v>1033.5</v>
      </c>
    </row>
    <row r="538" spans="1:7" x14ac:dyDescent="0.25">
      <c r="A538">
        <v>1</v>
      </c>
      <c r="B538">
        <v>738711</v>
      </c>
      <c r="C538" t="s">
        <v>3</v>
      </c>
      <c r="D538">
        <v>549</v>
      </c>
      <c r="E538">
        <v>43709</v>
      </c>
      <c r="F538">
        <v>2745</v>
      </c>
      <c r="G538">
        <v>1098</v>
      </c>
    </row>
    <row r="539" spans="1:7" x14ac:dyDescent="0.25">
      <c r="A539">
        <v>2</v>
      </c>
      <c r="B539">
        <v>533611</v>
      </c>
      <c r="C539" t="s">
        <v>0</v>
      </c>
      <c r="D539">
        <v>2734</v>
      </c>
      <c r="E539">
        <v>44105</v>
      </c>
      <c r="F539">
        <v>2734</v>
      </c>
      <c r="G539">
        <v>1367</v>
      </c>
    </row>
    <row r="540" spans="1:7" x14ac:dyDescent="0.25">
      <c r="A540">
        <v>3</v>
      </c>
      <c r="B540">
        <v>578917</v>
      </c>
      <c r="C540" t="s">
        <v>4</v>
      </c>
      <c r="D540">
        <v>546</v>
      </c>
      <c r="E540">
        <v>44105</v>
      </c>
      <c r="F540">
        <v>2730</v>
      </c>
      <c r="G540">
        <v>1201.2</v>
      </c>
    </row>
    <row r="541" spans="1:7" x14ac:dyDescent="0.25">
      <c r="A541">
        <v>5</v>
      </c>
      <c r="B541">
        <v>128675</v>
      </c>
      <c r="C541" t="s">
        <v>0</v>
      </c>
      <c r="D541">
        <v>2723</v>
      </c>
      <c r="E541">
        <v>44136</v>
      </c>
      <c r="F541">
        <v>2723</v>
      </c>
      <c r="G541">
        <v>1361.5</v>
      </c>
    </row>
    <row r="542" spans="1:7" x14ac:dyDescent="0.25">
      <c r="A542">
        <v>4</v>
      </c>
      <c r="B542">
        <v>252717</v>
      </c>
      <c r="C542" t="s">
        <v>0</v>
      </c>
      <c r="D542">
        <v>2665.5</v>
      </c>
      <c r="E542">
        <v>44013</v>
      </c>
      <c r="F542">
        <v>2665.5</v>
      </c>
      <c r="G542">
        <v>1332.75</v>
      </c>
    </row>
    <row r="543" spans="1:7" x14ac:dyDescent="0.25">
      <c r="A543">
        <v>3</v>
      </c>
      <c r="B543">
        <v>641259</v>
      </c>
      <c r="C543" t="s">
        <v>1</v>
      </c>
      <c r="D543">
        <v>888</v>
      </c>
      <c r="E543">
        <v>43983</v>
      </c>
      <c r="F543">
        <v>2664</v>
      </c>
      <c r="G543">
        <v>1110</v>
      </c>
    </row>
    <row r="544" spans="1:7" x14ac:dyDescent="0.25">
      <c r="A544">
        <v>1</v>
      </c>
      <c r="B544">
        <v>200053</v>
      </c>
      <c r="C544" t="s">
        <v>0</v>
      </c>
      <c r="D544">
        <v>2661</v>
      </c>
      <c r="E544">
        <v>43952</v>
      </c>
      <c r="F544">
        <v>2661</v>
      </c>
      <c r="G544">
        <v>1330.5</v>
      </c>
    </row>
    <row r="545" spans="1:7" x14ac:dyDescent="0.25">
      <c r="A545">
        <v>5</v>
      </c>
      <c r="B545">
        <v>273665</v>
      </c>
      <c r="C545" t="s">
        <v>2</v>
      </c>
      <c r="D545">
        <v>663</v>
      </c>
      <c r="E545">
        <v>43952</v>
      </c>
      <c r="F545">
        <v>2652</v>
      </c>
      <c r="G545">
        <v>994.5</v>
      </c>
    </row>
    <row r="546" spans="1:7" x14ac:dyDescent="0.25">
      <c r="A546">
        <v>3</v>
      </c>
      <c r="B546">
        <v>747194</v>
      </c>
      <c r="C546" t="s">
        <v>1</v>
      </c>
      <c r="D546">
        <v>880</v>
      </c>
      <c r="E546">
        <v>43952</v>
      </c>
      <c r="F546">
        <v>2640</v>
      </c>
      <c r="G546">
        <v>1100</v>
      </c>
    </row>
    <row r="547" spans="1:7" x14ac:dyDescent="0.25">
      <c r="A547">
        <v>3</v>
      </c>
      <c r="B547">
        <v>867837</v>
      </c>
      <c r="C547" t="s">
        <v>1</v>
      </c>
      <c r="D547">
        <v>877</v>
      </c>
      <c r="E547">
        <v>44136</v>
      </c>
      <c r="F547">
        <v>2631</v>
      </c>
      <c r="G547">
        <v>1096.25</v>
      </c>
    </row>
    <row r="548" spans="1:7" x14ac:dyDescent="0.25">
      <c r="A548">
        <v>5</v>
      </c>
      <c r="B548">
        <v>818048</v>
      </c>
      <c r="C548" t="s">
        <v>1</v>
      </c>
      <c r="D548">
        <v>866</v>
      </c>
      <c r="E548">
        <v>43952</v>
      </c>
      <c r="F548">
        <v>2598</v>
      </c>
      <c r="G548">
        <v>1082.5</v>
      </c>
    </row>
    <row r="549" spans="1:7" x14ac:dyDescent="0.25">
      <c r="A549">
        <v>1</v>
      </c>
      <c r="B549">
        <v>213778</v>
      </c>
      <c r="C549" t="s">
        <v>1</v>
      </c>
      <c r="D549">
        <v>865.5</v>
      </c>
      <c r="E549">
        <v>44013</v>
      </c>
      <c r="F549">
        <v>2596.5</v>
      </c>
      <c r="G549">
        <v>1081.875</v>
      </c>
    </row>
    <row r="550" spans="1:7" x14ac:dyDescent="0.25">
      <c r="A550">
        <v>3</v>
      </c>
      <c r="B550">
        <v>830805</v>
      </c>
      <c r="C550" t="s">
        <v>0</v>
      </c>
      <c r="D550">
        <v>2518</v>
      </c>
      <c r="E550">
        <v>43983</v>
      </c>
      <c r="F550">
        <v>2518</v>
      </c>
      <c r="G550">
        <v>1259</v>
      </c>
    </row>
    <row r="551" spans="1:7" x14ac:dyDescent="0.25">
      <c r="A551">
        <v>2</v>
      </c>
      <c r="B551">
        <v>179673</v>
      </c>
      <c r="C551" t="s">
        <v>0</v>
      </c>
      <c r="D551">
        <v>2501</v>
      </c>
      <c r="E551">
        <v>43891</v>
      </c>
      <c r="F551">
        <v>2501</v>
      </c>
      <c r="G551">
        <v>1250.5</v>
      </c>
    </row>
    <row r="552" spans="1:7" x14ac:dyDescent="0.25">
      <c r="A552">
        <v>4</v>
      </c>
      <c r="B552">
        <v>443834</v>
      </c>
      <c r="C552" t="s">
        <v>0</v>
      </c>
      <c r="D552">
        <v>2500</v>
      </c>
      <c r="E552">
        <v>43770</v>
      </c>
      <c r="F552">
        <v>2500</v>
      </c>
      <c r="G552">
        <v>1250</v>
      </c>
    </row>
    <row r="553" spans="1:7" x14ac:dyDescent="0.25">
      <c r="A553">
        <v>3</v>
      </c>
      <c r="B553">
        <v>539666</v>
      </c>
      <c r="C553" t="s">
        <v>0</v>
      </c>
      <c r="D553">
        <v>2498</v>
      </c>
      <c r="E553">
        <v>43709</v>
      </c>
      <c r="F553">
        <v>2498</v>
      </c>
      <c r="G553">
        <v>1249</v>
      </c>
    </row>
    <row r="554" spans="1:7" x14ac:dyDescent="0.25">
      <c r="A554">
        <v>4</v>
      </c>
      <c r="B554">
        <v>249098</v>
      </c>
      <c r="C554" t="s">
        <v>0</v>
      </c>
      <c r="D554">
        <v>2470</v>
      </c>
      <c r="E554">
        <v>43983</v>
      </c>
      <c r="F554">
        <v>2470</v>
      </c>
      <c r="G554">
        <v>1235</v>
      </c>
    </row>
    <row r="555" spans="1:7" x14ac:dyDescent="0.25">
      <c r="A555">
        <v>1</v>
      </c>
      <c r="B555">
        <v>617339</v>
      </c>
      <c r="C555" t="s">
        <v>5</v>
      </c>
      <c r="D555">
        <v>410</v>
      </c>
      <c r="E555">
        <v>44105</v>
      </c>
      <c r="F555">
        <v>2460</v>
      </c>
      <c r="G555">
        <v>1127.5</v>
      </c>
    </row>
    <row r="556" spans="1:7" x14ac:dyDescent="0.25">
      <c r="A556">
        <v>3</v>
      </c>
      <c r="B556">
        <v>451947</v>
      </c>
      <c r="C556" t="s">
        <v>1</v>
      </c>
      <c r="D556">
        <v>808</v>
      </c>
      <c r="E556">
        <v>43800</v>
      </c>
      <c r="F556">
        <v>2424</v>
      </c>
      <c r="G556">
        <v>1010</v>
      </c>
    </row>
    <row r="557" spans="1:7" x14ac:dyDescent="0.25">
      <c r="A557">
        <v>4</v>
      </c>
      <c r="B557">
        <v>741765</v>
      </c>
      <c r="C557" t="s">
        <v>0</v>
      </c>
      <c r="D557">
        <v>2420</v>
      </c>
      <c r="E557">
        <v>44075</v>
      </c>
      <c r="F557">
        <v>2420</v>
      </c>
      <c r="G557">
        <v>1210</v>
      </c>
    </row>
    <row r="558" spans="1:7" x14ac:dyDescent="0.25">
      <c r="A558">
        <v>3</v>
      </c>
      <c r="B558">
        <v>460452</v>
      </c>
      <c r="C558" t="s">
        <v>1</v>
      </c>
      <c r="D558">
        <v>787</v>
      </c>
      <c r="E558">
        <v>43983</v>
      </c>
      <c r="F558">
        <v>2361</v>
      </c>
      <c r="G558">
        <v>983.75</v>
      </c>
    </row>
    <row r="559" spans="1:7" x14ac:dyDescent="0.25">
      <c r="A559">
        <v>4</v>
      </c>
      <c r="B559">
        <v>323754</v>
      </c>
      <c r="C559" t="s">
        <v>4</v>
      </c>
      <c r="D559">
        <v>472</v>
      </c>
      <c r="E559">
        <v>44105</v>
      </c>
      <c r="F559">
        <v>2360</v>
      </c>
      <c r="G559">
        <v>1038.4000000000001</v>
      </c>
    </row>
    <row r="560" spans="1:7" x14ac:dyDescent="0.25">
      <c r="A560">
        <v>1</v>
      </c>
      <c r="B560">
        <v>818777</v>
      </c>
      <c r="C560" t="s">
        <v>0</v>
      </c>
      <c r="D560">
        <v>2342</v>
      </c>
      <c r="E560">
        <v>44136</v>
      </c>
      <c r="F560">
        <v>2342</v>
      </c>
      <c r="G560">
        <v>1171</v>
      </c>
    </row>
    <row r="561" spans="1:7" x14ac:dyDescent="0.25">
      <c r="A561">
        <v>4</v>
      </c>
      <c r="B561">
        <v>454312</v>
      </c>
      <c r="C561" t="s">
        <v>0</v>
      </c>
      <c r="D561">
        <v>2342</v>
      </c>
      <c r="E561">
        <v>44136</v>
      </c>
      <c r="F561">
        <v>2342</v>
      </c>
      <c r="G561">
        <v>1171</v>
      </c>
    </row>
    <row r="562" spans="1:7" x14ac:dyDescent="0.25">
      <c r="A562">
        <v>2</v>
      </c>
      <c r="B562">
        <v>336365</v>
      </c>
      <c r="C562" t="s">
        <v>0</v>
      </c>
      <c r="D562">
        <v>2340</v>
      </c>
      <c r="E562">
        <v>43831</v>
      </c>
      <c r="F562">
        <v>2340</v>
      </c>
      <c r="G562">
        <v>1170</v>
      </c>
    </row>
    <row r="563" spans="1:7" x14ac:dyDescent="0.25">
      <c r="A563">
        <v>3</v>
      </c>
      <c r="B563">
        <v>724808</v>
      </c>
      <c r="C563" t="s">
        <v>0</v>
      </c>
      <c r="D563">
        <v>2328</v>
      </c>
      <c r="E563">
        <v>44075</v>
      </c>
      <c r="F563">
        <v>2328</v>
      </c>
      <c r="G563">
        <v>1164</v>
      </c>
    </row>
    <row r="564" spans="1:7" x14ac:dyDescent="0.25">
      <c r="A564">
        <v>4</v>
      </c>
      <c r="B564">
        <v>272243</v>
      </c>
      <c r="C564" t="s">
        <v>0</v>
      </c>
      <c r="D564">
        <v>2321</v>
      </c>
      <c r="E564">
        <v>44136</v>
      </c>
      <c r="F564">
        <v>2321</v>
      </c>
      <c r="G564">
        <v>1160.5</v>
      </c>
    </row>
    <row r="565" spans="1:7" x14ac:dyDescent="0.25">
      <c r="A565">
        <v>4</v>
      </c>
      <c r="B565">
        <v>289924</v>
      </c>
      <c r="C565" t="s">
        <v>5</v>
      </c>
      <c r="D565">
        <v>386</v>
      </c>
      <c r="E565">
        <v>43770</v>
      </c>
      <c r="F565">
        <v>2316</v>
      </c>
      <c r="G565">
        <v>1061.5</v>
      </c>
    </row>
    <row r="566" spans="1:7" x14ac:dyDescent="0.25">
      <c r="A566">
        <v>3</v>
      </c>
      <c r="B566">
        <v>561083</v>
      </c>
      <c r="C566" t="s">
        <v>0</v>
      </c>
      <c r="D566">
        <v>2313</v>
      </c>
      <c r="E566">
        <v>43952</v>
      </c>
      <c r="F566">
        <v>2313</v>
      </c>
      <c r="G566">
        <v>1156.5</v>
      </c>
    </row>
    <row r="567" spans="1:7" x14ac:dyDescent="0.25">
      <c r="A567">
        <v>3</v>
      </c>
      <c r="B567">
        <v>120418</v>
      </c>
      <c r="C567" t="s">
        <v>5</v>
      </c>
      <c r="D567">
        <v>384</v>
      </c>
      <c r="E567">
        <v>43831</v>
      </c>
      <c r="F567">
        <v>2304</v>
      </c>
      <c r="G567">
        <v>1056</v>
      </c>
    </row>
    <row r="568" spans="1:7" x14ac:dyDescent="0.25">
      <c r="A568">
        <v>4</v>
      </c>
      <c r="B568">
        <v>142538</v>
      </c>
      <c r="C568" t="s">
        <v>0</v>
      </c>
      <c r="D568">
        <v>2301</v>
      </c>
      <c r="E568">
        <v>43922</v>
      </c>
      <c r="F568">
        <v>2301</v>
      </c>
      <c r="G568">
        <v>1150.5</v>
      </c>
    </row>
    <row r="569" spans="1:7" x14ac:dyDescent="0.25">
      <c r="A569">
        <v>3</v>
      </c>
      <c r="B569">
        <v>138137</v>
      </c>
      <c r="C569" t="s">
        <v>0</v>
      </c>
      <c r="D569">
        <v>2300</v>
      </c>
      <c r="E569">
        <v>44166</v>
      </c>
      <c r="F569">
        <v>2300</v>
      </c>
      <c r="G569">
        <v>1150</v>
      </c>
    </row>
    <row r="570" spans="1:7" x14ac:dyDescent="0.25">
      <c r="A570">
        <v>2</v>
      </c>
      <c r="B570">
        <v>539656</v>
      </c>
      <c r="C570" t="s">
        <v>2</v>
      </c>
      <c r="D570">
        <v>570</v>
      </c>
      <c r="E570">
        <v>44166</v>
      </c>
      <c r="F570">
        <v>2280</v>
      </c>
      <c r="G570">
        <v>855</v>
      </c>
    </row>
    <row r="571" spans="1:7" x14ac:dyDescent="0.25">
      <c r="A571">
        <v>3</v>
      </c>
      <c r="B571">
        <v>434964</v>
      </c>
      <c r="C571" t="s">
        <v>0</v>
      </c>
      <c r="D571">
        <v>2255</v>
      </c>
      <c r="E571">
        <v>44013</v>
      </c>
      <c r="F571">
        <v>2255</v>
      </c>
      <c r="G571">
        <v>1127.5</v>
      </c>
    </row>
    <row r="572" spans="1:7" x14ac:dyDescent="0.25">
      <c r="A572">
        <v>4</v>
      </c>
      <c r="B572">
        <v>443447</v>
      </c>
      <c r="C572" t="s">
        <v>2</v>
      </c>
      <c r="D572">
        <v>562</v>
      </c>
      <c r="E572">
        <v>44075</v>
      </c>
      <c r="F572">
        <v>2248</v>
      </c>
      <c r="G572">
        <v>843</v>
      </c>
    </row>
    <row r="573" spans="1:7" x14ac:dyDescent="0.25">
      <c r="A573">
        <v>1</v>
      </c>
      <c r="B573">
        <v>807061</v>
      </c>
      <c r="C573" t="s">
        <v>3</v>
      </c>
      <c r="D573">
        <v>448</v>
      </c>
      <c r="E573">
        <v>43983</v>
      </c>
      <c r="F573">
        <v>2240</v>
      </c>
      <c r="G573">
        <v>896</v>
      </c>
    </row>
    <row r="574" spans="1:7" x14ac:dyDescent="0.25">
      <c r="A574">
        <v>5</v>
      </c>
      <c r="B574">
        <v>529423</v>
      </c>
      <c r="C574" t="s">
        <v>0</v>
      </c>
      <c r="D574">
        <v>2227.5</v>
      </c>
      <c r="E574">
        <v>43831</v>
      </c>
      <c r="F574">
        <v>2227.5</v>
      </c>
      <c r="G574">
        <v>1113.75</v>
      </c>
    </row>
    <row r="575" spans="1:7" x14ac:dyDescent="0.25">
      <c r="A575">
        <v>2</v>
      </c>
      <c r="B575">
        <v>353832</v>
      </c>
      <c r="C575" t="s">
        <v>0</v>
      </c>
      <c r="D575">
        <v>2214</v>
      </c>
      <c r="E575">
        <v>43891</v>
      </c>
      <c r="F575">
        <v>2214</v>
      </c>
      <c r="G575">
        <v>1107</v>
      </c>
    </row>
    <row r="576" spans="1:7" x14ac:dyDescent="0.25">
      <c r="A576">
        <v>1</v>
      </c>
      <c r="B576">
        <v>327845</v>
      </c>
      <c r="C576" t="s">
        <v>1</v>
      </c>
      <c r="D576">
        <v>727</v>
      </c>
      <c r="E576">
        <v>43983</v>
      </c>
      <c r="F576">
        <v>2181</v>
      </c>
      <c r="G576">
        <v>908.75</v>
      </c>
    </row>
    <row r="577" spans="1:7" x14ac:dyDescent="0.25">
      <c r="A577">
        <v>1</v>
      </c>
      <c r="B577">
        <v>444955</v>
      </c>
      <c r="C577" t="s">
        <v>0</v>
      </c>
      <c r="D577">
        <v>2181</v>
      </c>
      <c r="E577">
        <v>44105</v>
      </c>
      <c r="F577">
        <v>2181</v>
      </c>
      <c r="G577">
        <v>1090.5</v>
      </c>
    </row>
    <row r="578" spans="1:7" x14ac:dyDescent="0.25">
      <c r="A578">
        <v>1</v>
      </c>
      <c r="B578">
        <v>729194</v>
      </c>
      <c r="C578" t="s">
        <v>5</v>
      </c>
      <c r="D578">
        <v>362</v>
      </c>
      <c r="E578">
        <v>43952</v>
      </c>
      <c r="F578">
        <v>2172</v>
      </c>
      <c r="G578">
        <v>995.5</v>
      </c>
    </row>
    <row r="579" spans="1:7" x14ac:dyDescent="0.25">
      <c r="A579">
        <v>1</v>
      </c>
      <c r="B579">
        <v>881771</v>
      </c>
      <c r="C579" t="s">
        <v>0</v>
      </c>
      <c r="D579">
        <v>2157</v>
      </c>
      <c r="E579">
        <v>44166</v>
      </c>
      <c r="F579">
        <v>2157</v>
      </c>
      <c r="G579">
        <v>1078.5</v>
      </c>
    </row>
    <row r="580" spans="1:7" x14ac:dyDescent="0.25">
      <c r="A580">
        <v>4</v>
      </c>
      <c r="B580">
        <v>366159</v>
      </c>
      <c r="C580" t="s">
        <v>0</v>
      </c>
      <c r="D580">
        <v>2146</v>
      </c>
      <c r="E580">
        <v>44075</v>
      </c>
      <c r="F580">
        <v>2146</v>
      </c>
      <c r="G580">
        <v>1073</v>
      </c>
    </row>
    <row r="581" spans="1:7" x14ac:dyDescent="0.25">
      <c r="A581">
        <v>2</v>
      </c>
      <c r="B581">
        <v>361276</v>
      </c>
      <c r="C581" t="s">
        <v>2</v>
      </c>
      <c r="D581">
        <v>521</v>
      </c>
      <c r="E581">
        <v>44166</v>
      </c>
      <c r="F581">
        <v>2084</v>
      </c>
      <c r="G581">
        <v>781.5</v>
      </c>
    </row>
    <row r="582" spans="1:7" x14ac:dyDescent="0.25">
      <c r="A582">
        <v>5</v>
      </c>
      <c r="B582">
        <v>742570</v>
      </c>
      <c r="C582" t="s">
        <v>0</v>
      </c>
      <c r="D582">
        <v>2072</v>
      </c>
      <c r="E582">
        <v>44166</v>
      </c>
      <c r="F582">
        <v>2072</v>
      </c>
      <c r="G582">
        <v>1036</v>
      </c>
    </row>
    <row r="583" spans="1:7" x14ac:dyDescent="0.25">
      <c r="A583">
        <v>3</v>
      </c>
      <c r="B583">
        <v>725066</v>
      </c>
      <c r="C583" t="s">
        <v>5</v>
      </c>
      <c r="D583">
        <v>345</v>
      </c>
      <c r="E583">
        <v>43739</v>
      </c>
      <c r="F583">
        <v>2070</v>
      </c>
      <c r="G583">
        <v>948.75</v>
      </c>
    </row>
    <row r="584" spans="1:7" x14ac:dyDescent="0.25">
      <c r="A584">
        <v>5</v>
      </c>
      <c r="B584">
        <v>403071</v>
      </c>
      <c r="C584" t="s">
        <v>5</v>
      </c>
      <c r="D584">
        <v>344</v>
      </c>
      <c r="E584">
        <v>43739</v>
      </c>
      <c r="F584">
        <v>2064</v>
      </c>
      <c r="G584">
        <v>946</v>
      </c>
    </row>
    <row r="585" spans="1:7" x14ac:dyDescent="0.25">
      <c r="A585">
        <v>1</v>
      </c>
      <c r="B585">
        <v>148871</v>
      </c>
      <c r="C585" t="s">
        <v>4</v>
      </c>
      <c r="D585">
        <v>410</v>
      </c>
      <c r="E585">
        <v>44105</v>
      </c>
      <c r="F585">
        <v>2050</v>
      </c>
      <c r="G585">
        <v>902.00000000000011</v>
      </c>
    </row>
    <row r="586" spans="1:7" x14ac:dyDescent="0.25">
      <c r="A586">
        <v>1</v>
      </c>
      <c r="B586">
        <v>801641</v>
      </c>
      <c r="C586" t="s">
        <v>0</v>
      </c>
      <c r="D586">
        <v>2031</v>
      </c>
      <c r="E586">
        <v>44105</v>
      </c>
      <c r="F586">
        <v>2031</v>
      </c>
      <c r="G586">
        <v>1015.5</v>
      </c>
    </row>
    <row r="587" spans="1:7" x14ac:dyDescent="0.25">
      <c r="A587">
        <v>4</v>
      </c>
      <c r="B587">
        <v>574744</v>
      </c>
      <c r="C587" t="s">
        <v>0</v>
      </c>
      <c r="D587">
        <v>2021</v>
      </c>
      <c r="E587">
        <v>44105</v>
      </c>
      <c r="F587">
        <v>2021</v>
      </c>
      <c r="G587">
        <v>1010.5</v>
      </c>
    </row>
    <row r="588" spans="1:7" x14ac:dyDescent="0.25">
      <c r="A588">
        <v>5</v>
      </c>
      <c r="B588">
        <v>160577</v>
      </c>
      <c r="C588" t="s">
        <v>1</v>
      </c>
      <c r="D588">
        <v>662</v>
      </c>
      <c r="E588">
        <v>43983</v>
      </c>
      <c r="F588">
        <v>1986</v>
      </c>
      <c r="G588">
        <v>827.5</v>
      </c>
    </row>
    <row r="589" spans="1:7" x14ac:dyDescent="0.25">
      <c r="A589">
        <v>4</v>
      </c>
      <c r="B589">
        <v>757336</v>
      </c>
      <c r="C589" t="s">
        <v>0</v>
      </c>
      <c r="D589">
        <v>1976</v>
      </c>
      <c r="E589">
        <v>44105</v>
      </c>
      <c r="F589">
        <v>1976</v>
      </c>
      <c r="G589">
        <v>988</v>
      </c>
    </row>
    <row r="590" spans="1:7" x14ac:dyDescent="0.25">
      <c r="A590">
        <v>5</v>
      </c>
      <c r="B590">
        <v>238485</v>
      </c>
      <c r="C590" t="s">
        <v>2</v>
      </c>
      <c r="D590">
        <v>494</v>
      </c>
      <c r="E590">
        <v>43739</v>
      </c>
      <c r="F590">
        <v>1976</v>
      </c>
      <c r="G590">
        <v>741</v>
      </c>
    </row>
    <row r="591" spans="1:7" x14ac:dyDescent="0.25">
      <c r="A591">
        <v>4</v>
      </c>
      <c r="B591">
        <v>823953</v>
      </c>
      <c r="C591" t="s">
        <v>0</v>
      </c>
      <c r="D591">
        <v>1967</v>
      </c>
      <c r="E591">
        <v>43891</v>
      </c>
      <c r="F591">
        <v>1967</v>
      </c>
      <c r="G591">
        <v>983.5</v>
      </c>
    </row>
    <row r="592" spans="1:7" x14ac:dyDescent="0.25">
      <c r="A592">
        <v>2</v>
      </c>
      <c r="B592">
        <v>297812</v>
      </c>
      <c r="C592" t="s">
        <v>2</v>
      </c>
      <c r="D592">
        <v>490</v>
      </c>
      <c r="E592">
        <v>44136</v>
      </c>
      <c r="F592">
        <v>1960</v>
      </c>
      <c r="G592">
        <v>735</v>
      </c>
    </row>
    <row r="593" spans="1:7" x14ac:dyDescent="0.25">
      <c r="A593">
        <v>5</v>
      </c>
      <c r="B593">
        <v>570270</v>
      </c>
      <c r="C593" t="s">
        <v>0</v>
      </c>
      <c r="D593">
        <v>1958</v>
      </c>
      <c r="E593">
        <v>43862</v>
      </c>
      <c r="F593">
        <v>1958</v>
      </c>
      <c r="G593">
        <v>979</v>
      </c>
    </row>
    <row r="594" spans="1:7" x14ac:dyDescent="0.25">
      <c r="A594">
        <v>3</v>
      </c>
      <c r="B594">
        <v>686651</v>
      </c>
      <c r="C594" t="s">
        <v>3</v>
      </c>
      <c r="D594">
        <v>386</v>
      </c>
      <c r="E594">
        <v>43739</v>
      </c>
      <c r="F594">
        <v>1930</v>
      </c>
      <c r="G594">
        <v>772</v>
      </c>
    </row>
    <row r="595" spans="1:7" x14ac:dyDescent="0.25">
      <c r="A595">
        <v>1</v>
      </c>
      <c r="B595">
        <v>485947</v>
      </c>
      <c r="C595" t="s">
        <v>1</v>
      </c>
      <c r="D595">
        <v>641</v>
      </c>
      <c r="E595">
        <v>44013</v>
      </c>
      <c r="F595">
        <v>1923</v>
      </c>
      <c r="G595">
        <v>801.25</v>
      </c>
    </row>
    <row r="596" spans="1:7" x14ac:dyDescent="0.25">
      <c r="A596">
        <v>2</v>
      </c>
      <c r="B596">
        <v>445507</v>
      </c>
      <c r="C596" t="s">
        <v>0</v>
      </c>
      <c r="D596">
        <v>1901</v>
      </c>
      <c r="E596">
        <v>43983</v>
      </c>
      <c r="F596">
        <v>1901</v>
      </c>
      <c r="G596">
        <v>950.5</v>
      </c>
    </row>
    <row r="597" spans="1:7" x14ac:dyDescent="0.25">
      <c r="A597">
        <v>3</v>
      </c>
      <c r="B597">
        <v>607709</v>
      </c>
      <c r="C597" t="s">
        <v>3</v>
      </c>
      <c r="D597">
        <v>380</v>
      </c>
      <c r="E597">
        <v>43709</v>
      </c>
      <c r="F597">
        <v>1900</v>
      </c>
      <c r="G597">
        <v>760</v>
      </c>
    </row>
    <row r="598" spans="1:7" x14ac:dyDescent="0.25">
      <c r="A598">
        <v>4</v>
      </c>
      <c r="B598">
        <v>737790</v>
      </c>
      <c r="C598" t="s">
        <v>3</v>
      </c>
      <c r="D598">
        <v>380</v>
      </c>
      <c r="E598">
        <v>43800</v>
      </c>
      <c r="F598">
        <v>1900</v>
      </c>
      <c r="G598">
        <v>760</v>
      </c>
    </row>
    <row r="599" spans="1:7" x14ac:dyDescent="0.25">
      <c r="A599">
        <v>5</v>
      </c>
      <c r="B599">
        <v>138739</v>
      </c>
      <c r="C599" t="s">
        <v>0</v>
      </c>
      <c r="D599">
        <v>1899</v>
      </c>
      <c r="E599">
        <v>43983</v>
      </c>
      <c r="F599">
        <v>1899</v>
      </c>
      <c r="G599">
        <v>949.5</v>
      </c>
    </row>
    <row r="600" spans="1:7" x14ac:dyDescent="0.25">
      <c r="A600">
        <v>4</v>
      </c>
      <c r="B600">
        <v>362208</v>
      </c>
      <c r="C600" t="s">
        <v>1</v>
      </c>
      <c r="D600">
        <v>623</v>
      </c>
      <c r="E600">
        <v>43709</v>
      </c>
      <c r="F600">
        <v>1869</v>
      </c>
      <c r="G600">
        <v>778.75</v>
      </c>
    </row>
    <row r="601" spans="1:7" x14ac:dyDescent="0.25">
      <c r="A601">
        <v>3</v>
      </c>
      <c r="B601">
        <v>539522</v>
      </c>
      <c r="C601" t="s">
        <v>0</v>
      </c>
      <c r="D601">
        <v>1859</v>
      </c>
      <c r="E601">
        <v>44044</v>
      </c>
      <c r="F601">
        <v>1859</v>
      </c>
      <c r="G601">
        <v>929.5</v>
      </c>
    </row>
    <row r="602" spans="1:7" x14ac:dyDescent="0.25">
      <c r="A602">
        <v>3</v>
      </c>
      <c r="B602">
        <v>431913</v>
      </c>
      <c r="C602" t="s">
        <v>0</v>
      </c>
      <c r="D602">
        <v>1857</v>
      </c>
      <c r="E602">
        <v>43770</v>
      </c>
      <c r="F602">
        <v>1857</v>
      </c>
      <c r="G602">
        <v>928.5</v>
      </c>
    </row>
    <row r="603" spans="1:7" x14ac:dyDescent="0.25">
      <c r="A603">
        <v>2</v>
      </c>
      <c r="B603">
        <v>266313</v>
      </c>
      <c r="C603" t="s">
        <v>3</v>
      </c>
      <c r="D603">
        <v>367</v>
      </c>
      <c r="E603">
        <v>43739</v>
      </c>
      <c r="F603">
        <v>1835</v>
      </c>
      <c r="G603">
        <v>734</v>
      </c>
    </row>
    <row r="604" spans="1:7" x14ac:dyDescent="0.25">
      <c r="A604">
        <v>2</v>
      </c>
      <c r="B604">
        <v>898637</v>
      </c>
      <c r="C604" t="s">
        <v>3</v>
      </c>
      <c r="D604">
        <v>367</v>
      </c>
      <c r="E604">
        <v>44013</v>
      </c>
      <c r="F604">
        <v>1835</v>
      </c>
      <c r="G604">
        <v>734</v>
      </c>
    </row>
    <row r="605" spans="1:7" x14ac:dyDescent="0.25">
      <c r="A605">
        <v>4</v>
      </c>
      <c r="B605">
        <v>459280</v>
      </c>
      <c r="C605" t="s">
        <v>0</v>
      </c>
      <c r="D605">
        <v>1830</v>
      </c>
      <c r="E605">
        <v>44044</v>
      </c>
      <c r="F605">
        <v>1830</v>
      </c>
      <c r="G605">
        <v>915</v>
      </c>
    </row>
    <row r="606" spans="1:7" x14ac:dyDescent="0.25">
      <c r="A606">
        <v>5</v>
      </c>
      <c r="B606">
        <v>352793</v>
      </c>
      <c r="C606" t="s">
        <v>0</v>
      </c>
      <c r="D606">
        <v>1804</v>
      </c>
      <c r="E606">
        <v>43770</v>
      </c>
      <c r="F606">
        <v>1804</v>
      </c>
      <c r="G606">
        <v>902</v>
      </c>
    </row>
    <row r="607" spans="1:7" x14ac:dyDescent="0.25">
      <c r="A607">
        <v>2</v>
      </c>
      <c r="B607">
        <v>336267</v>
      </c>
      <c r="C607" t="s">
        <v>3</v>
      </c>
      <c r="D607">
        <v>360</v>
      </c>
      <c r="E607">
        <v>44105</v>
      </c>
      <c r="F607">
        <v>1800</v>
      </c>
      <c r="G607">
        <v>720</v>
      </c>
    </row>
    <row r="608" spans="1:7" x14ac:dyDescent="0.25">
      <c r="A608">
        <v>5</v>
      </c>
      <c r="B608">
        <v>806978</v>
      </c>
      <c r="C608" t="s">
        <v>0</v>
      </c>
      <c r="D608">
        <v>1797</v>
      </c>
      <c r="E608">
        <v>43709</v>
      </c>
      <c r="F608">
        <v>1797</v>
      </c>
      <c r="G608">
        <v>898.5</v>
      </c>
    </row>
    <row r="609" spans="1:7" x14ac:dyDescent="0.25">
      <c r="A609">
        <v>5</v>
      </c>
      <c r="B609">
        <v>115306</v>
      </c>
      <c r="C609" t="s">
        <v>2</v>
      </c>
      <c r="D609">
        <v>448</v>
      </c>
      <c r="E609">
        <v>43983</v>
      </c>
      <c r="F609">
        <v>1792</v>
      </c>
      <c r="G609">
        <v>672</v>
      </c>
    </row>
    <row r="610" spans="1:7" x14ac:dyDescent="0.25">
      <c r="A610">
        <v>3</v>
      </c>
      <c r="B610">
        <v>448428</v>
      </c>
      <c r="C610" t="s">
        <v>3</v>
      </c>
      <c r="D610">
        <v>357</v>
      </c>
      <c r="E610">
        <v>44136</v>
      </c>
      <c r="F610">
        <v>1785</v>
      </c>
      <c r="G610">
        <v>714</v>
      </c>
    </row>
    <row r="611" spans="1:7" x14ac:dyDescent="0.25">
      <c r="A611">
        <v>2</v>
      </c>
      <c r="B611">
        <v>433556</v>
      </c>
      <c r="C611" t="s">
        <v>0</v>
      </c>
      <c r="D611">
        <v>1773</v>
      </c>
      <c r="E611">
        <v>43922</v>
      </c>
      <c r="F611">
        <v>1773</v>
      </c>
      <c r="G611">
        <v>886.5</v>
      </c>
    </row>
    <row r="612" spans="1:7" x14ac:dyDescent="0.25">
      <c r="A612">
        <v>3</v>
      </c>
      <c r="B612">
        <v>676544</v>
      </c>
      <c r="C612" t="s">
        <v>2</v>
      </c>
      <c r="D612">
        <v>442</v>
      </c>
      <c r="E612">
        <v>43709</v>
      </c>
      <c r="F612">
        <v>1768</v>
      </c>
      <c r="G612">
        <v>663</v>
      </c>
    </row>
    <row r="613" spans="1:7" x14ac:dyDescent="0.25">
      <c r="A613">
        <v>3</v>
      </c>
      <c r="B613">
        <v>215754</v>
      </c>
      <c r="C613" t="s">
        <v>0</v>
      </c>
      <c r="D613">
        <v>1757</v>
      </c>
      <c r="E613">
        <v>43739</v>
      </c>
      <c r="F613">
        <v>1757</v>
      </c>
      <c r="G613">
        <v>878.5</v>
      </c>
    </row>
    <row r="614" spans="1:7" x14ac:dyDescent="0.25">
      <c r="A614">
        <v>4</v>
      </c>
      <c r="B614">
        <v>164574</v>
      </c>
      <c r="C614" t="s">
        <v>0</v>
      </c>
      <c r="D614">
        <v>1727</v>
      </c>
      <c r="E614">
        <v>43739</v>
      </c>
      <c r="F614">
        <v>1727</v>
      </c>
      <c r="G614">
        <v>863.5</v>
      </c>
    </row>
    <row r="615" spans="1:7" x14ac:dyDescent="0.25">
      <c r="A615">
        <v>3</v>
      </c>
      <c r="B615">
        <v>324307</v>
      </c>
      <c r="C615" t="s">
        <v>1</v>
      </c>
      <c r="D615">
        <v>574.5</v>
      </c>
      <c r="E615">
        <v>43922</v>
      </c>
      <c r="F615">
        <v>1723.5</v>
      </c>
      <c r="G615">
        <v>718.125</v>
      </c>
    </row>
    <row r="616" spans="1:7" x14ac:dyDescent="0.25">
      <c r="A616">
        <v>1</v>
      </c>
      <c r="B616">
        <v>423355</v>
      </c>
      <c r="C616" t="s">
        <v>4</v>
      </c>
      <c r="D616">
        <v>344</v>
      </c>
      <c r="E616">
        <v>43739</v>
      </c>
      <c r="F616">
        <v>1720</v>
      </c>
      <c r="G616">
        <v>756.80000000000007</v>
      </c>
    </row>
    <row r="617" spans="1:7" x14ac:dyDescent="0.25">
      <c r="A617">
        <v>2</v>
      </c>
      <c r="B617">
        <v>347412</v>
      </c>
      <c r="C617" t="s">
        <v>0</v>
      </c>
      <c r="D617">
        <v>1715</v>
      </c>
      <c r="E617">
        <v>43739</v>
      </c>
      <c r="F617">
        <v>1715</v>
      </c>
      <c r="G617">
        <v>857.5</v>
      </c>
    </row>
    <row r="618" spans="1:7" x14ac:dyDescent="0.25">
      <c r="A618">
        <v>2</v>
      </c>
      <c r="B618">
        <v>899502</v>
      </c>
      <c r="C618" t="s">
        <v>1</v>
      </c>
      <c r="D618">
        <v>570</v>
      </c>
      <c r="E618">
        <v>44166</v>
      </c>
      <c r="F618">
        <v>1710</v>
      </c>
      <c r="G618">
        <v>712.5</v>
      </c>
    </row>
    <row r="619" spans="1:7" x14ac:dyDescent="0.25">
      <c r="A619">
        <v>3</v>
      </c>
      <c r="B619">
        <v>494228</v>
      </c>
      <c r="C619" t="s">
        <v>0</v>
      </c>
      <c r="D619">
        <v>1706</v>
      </c>
      <c r="E619">
        <v>44166</v>
      </c>
      <c r="F619">
        <v>1706</v>
      </c>
      <c r="G619">
        <v>853</v>
      </c>
    </row>
    <row r="620" spans="1:7" x14ac:dyDescent="0.25">
      <c r="A620">
        <v>2</v>
      </c>
      <c r="B620">
        <v>487819</v>
      </c>
      <c r="C620" t="s">
        <v>0</v>
      </c>
      <c r="D620">
        <v>1666</v>
      </c>
      <c r="E620">
        <v>43952</v>
      </c>
      <c r="F620">
        <v>1666</v>
      </c>
      <c r="G620">
        <v>833</v>
      </c>
    </row>
    <row r="621" spans="1:7" x14ac:dyDescent="0.25">
      <c r="A621">
        <v>3</v>
      </c>
      <c r="B621">
        <v>878522</v>
      </c>
      <c r="C621" t="s">
        <v>1</v>
      </c>
      <c r="D621">
        <v>554</v>
      </c>
      <c r="E621">
        <v>43831</v>
      </c>
      <c r="F621">
        <v>1662</v>
      </c>
      <c r="G621">
        <v>692.5</v>
      </c>
    </row>
    <row r="622" spans="1:7" x14ac:dyDescent="0.25">
      <c r="A622">
        <v>4</v>
      </c>
      <c r="B622">
        <v>113657</v>
      </c>
      <c r="C622" t="s">
        <v>0</v>
      </c>
      <c r="D622">
        <v>1660</v>
      </c>
      <c r="E622">
        <v>43770</v>
      </c>
      <c r="F622">
        <v>1660</v>
      </c>
      <c r="G622">
        <v>830</v>
      </c>
    </row>
    <row r="623" spans="1:7" x14ac:dyDescent="0.25">
      <c r="A623">
        <v>4</v>
      </c>
      <c r="B623">
        <v>483216</v>
      </c>
      <c r="C623" t="s">
        <v>1</v>
      </c>
      <c r="D623">
        <v>552</v>
      </c>
      <c r="E623">
        <v>44136</v>
      </c>
      <c r="F623">
        <v>1656</v>
      </c>
      <c r="G623">
        <v>690</v>
      </c>
    </row>
    <row r="624" spans="1:7" x14ac:dyDescent="0.25">
      <c r="A624">
        <v>2</v>
      </c>
      <c r="B624">
        <v>867907</v>
      </c>
      <c r="C624" t="s">
        <v>5</v>
      </c>
      <c r="D624">
        <v>269</v>
      </c>
      <c r="E624">
        <v>43739</v>
      </c>
      <c r="F624">
        <v>1614</v>
      </c>
      <c r="G624">
        <v>739.75</v>
      </c>
    </row>
    <row r="626" spans="1:7" x14ac:dyDescent="0.25">
      <c r="A626">
        <v>2</v>
      </c>
      <c r="B626">
        <v>270516</v>
      </c>
      <c r="C626" t="s">
        <v>0</v>
      </c>
      <c r="D626">
        <v>1611</v>
      </c>
      <c r="E626">
        <v>43800</v>
      </c>
      <c r="F626">
        <v>1611</v>
      </c>
      <c r="G626">
        <v>805.5</v>
      </c>
    </row>
    <row r="627" spans="1:7" x14ac:dyDescent="0.25">
      <c r="A627">
        <v>4</v>
      </c>
      <c r="B627">
        <v>182735</v>
      </c>
      <c r="C627" t="s">
        <v>4</v>
      </c>
      <c r="D627">
        <v>321</v>
      </c>
      <c r="E627">
        <v>43770</v>
      </c>
      <c r="F627">
        <v>1605</v>
      </c>
      <c r="G627">
        <v>706.2</v>
      </c>
    </row>
    <row r="628" spans="1:7" x14ac:dyDescent="0.25">
      <c r="A628">
        <v>1</v>
      </c>
      <c r="B628">
        <v>326089</v>
      </c>
      <c r="C628" t="s">
        <v>0</v>
      </c>
      <c r="D628">
        <v>1566</v>
      </c>
      <c r="E628">
        <v>44105</v>
      </c>
      <c r="F628">
        <v>1566</v>
      </c>
      <c r="G628">
        <v>783</v>
      </c>
    </row>
    <row r="629" spans="1:7" x14ac:dyDescent="0.25">
      <c r="A629">
        <v>1</v>
      </c>
      <c r="B629">
        <v>102288</v>
      </c>
      <c r="C629" t="s">
        <v>1</v>
      </c>
      <c r="D629">
        <v>521</v>
      </c>
      <c r="E629">
        <v>44166</v>
      </c>
      <c r="F629">
        <v>1563</v>
      </c>
      <c r="G629">
        <v>651.25</v>
      </c>
    </row>
    <row r="630" spans="1:7" x14ac:dyDescent="0.25">
      <c r="A630">
        <v>3</v>
      </c>
      <c r="B630">
        <v>141979</v>
      </c>
      <c r="C630" t="s">
        <v>0</v>
      </c>
      <c r="D630">
        <v>1562</v>
      </c>
      <c r="E630">
        <v>44044</v>
      </c>
      <c r="F630">
        <v>1562</v>
      </c>
      <c r="G630">
        <v>781</v>
      </c>
    </row>
    <row r="631" spans="1:7" x14ac:dyDescent="0.25">
      <c r="A631">
        <v>2</v>
      </c>
      <c r="B631">
        <v>830819</v>
      </c>
      <c r="C631" t="s">
        <v>0</v>
      </c>
      <c r="D631">
        <v>1545</v>
      </c>
      <c r="E631">
        <v>43983</v>
      </c>
      <c r="F631">
        <v>1545</v>
      </c>
      <c r="G631">
        <v>772.5</v>
      </c>
    </row>
    <row r="632" spans="1:7" x14ac:dyDescent="0.25">
      <c r="A632">
        <v>4</v>
      </c>
      <c r="B632">
        <v>395290</v>
      </c>
      <c r="C632" t="s">
        <v>2</v>
      </c>
      <c r="D632">
        <v>386</v>
      </c>
      <c r="E632">
        <v>43739</v>
      </c>
      <c r="F632">
        <v>1544</v>
      </c>
      <c r="G632">
        <v>579</v>
      </c>
    </row>
    <row r="633" spans="1:7" x14ac:dyDescent="0.25">
      <c r="A633">
        <v>2</v>
      </c>
      <c r="B633">
        <v>581556</v>
      </c>
      <c r="C633" t="s">
        <v>4</v>
      </c>
      <c r="D633">
        <v>306</v>
      </c>
      <c r="E633">
        <v>43800</v>
      </c>
      <c r="F633">
        <v>1530</v>
      </c>
      <c r="G633">
        <v>673.2</v>
      </c>
    </row>
    <row r="634" spans="1:7" x14ac:dyDescent="0.25">
      <c r="A634">
        <v>3</v>
      </c>
      <c r="B634">
        <v>243929</v>
      </c>
      <c r="C634" t="s">
        <v>1</v>
      </c>
      <c r="D634">
        <v>494</v>
      </c>
      <c r="E634">
        <v>43739</v>
      </c>
      <c r="F634">
        <v>1482</v>
      </c>
      <c r="G634">
        <v>617.5</v>
      </c>
    </row>
    <row r="635" spans="1:7" x14ac:dyDescent="0.25">
      <c r="A635">
        <v>4</v>
      </c>
      <c r="B635">
        <v>414407</v>
      </c>
      <c r="C635" t="s">
        <v>1</v>
      </c>
      <c r="D635">
        <v>492</v>
      </c>
      <c r="E635">
        <v>44013</v>
      </c>
      <c r="F635">
        <v>1476</v>
      </c>
      <c r="G635">
        <v>615</v>
      </c>
    </row>
    <row r="636" spans="1:7" x14ac:dyDescent="0.25">
      <c r="A636">
        <v>1</v>
      </c>
      <c r="B636">
        <v>847731</v>
      </c>
      <c r="C636" t="s">
        <v>5</v>
      </c>
      <c r="D636">
        <v>245</v>
      </c>
      <c r="E636">
        <v>43952</v>
      </c>
      <c r="F636">
        <v>1470</v>
      </c>
      <c r="G636">
        <v>673.75</v>
      </c>
    </row>
    <row r="637" spans="1:7" x14ac:dyDescent="0.25">
      <c r="A637">
        <v>5</v>
      </c>
      <c r="B637">
        <v>496752</v>
      </c>
      <c r="C637" t="s">
        <v>2</v>
      </c>
      <c r="D637">
        <v>367</v>
      </c>
      <c r="E637">
        <v>43739</v>
      </c>
      <c r="F637">
        <v>1468</v>
      </c>
      <c r="G637">
        <v>550.5</v>
      </c>
    </row>
    <row r="638" spans="1:7" x14ac:dyDescent="0.25">
      <c r="A638">
        <v>4</v>
      </c>
      <c r="B638">
        <v>809091</v>
      </c>
      <c r="C638" t="s">
        <v>3</v>
      </c>
      <c r="D638">
        <v>293</v>
      </c>
      <c r="E638">
        <v>44166</v>
      </c>
      <c r="F638">
        <v>1465</v>
      </c>
      <c r="G638">
        <v>586</v>
      </c>
    </row>
    <row r="639" spans="1:7" x14ac:dyDescent="0.25">
      <c r="A639">
        <v>2</v>
      </c>
      <c r="B639">
        <v>199458</v>
      </c>
      <c r="C639" t="s">
        <v>0</v>
      </c>
      <c r="D639">
        <v>1460</v>
      </c>
      <c r="E639">
        <v>43952</v>
      </c>
      <c r="F639">
        <v>1460</v>
      </c>
      <c r="G639">
        <v>730</v>
      </c>
    </row>
    <row r="640" spans="1:7" x14ac:dyDescent="0.25">
      <c r="A640">
        <v>3</v>
      </c>
      <c r="B640">
        <v>266868</v>
      </c>
      <c r="C640" t="s">
        <v>3</v>
      </c>
      <c r="D640">
        <v>292</v>
      </c>
      <c r="E640">
        <v>43862</v>
      </c>
      <c r="F640">
        <v>1460</v>
      </c>
      <c r="G640">
        <v>584</v>
      </c>
    </row>
    <row r="641" spans="1:7" x14ac:dyDescent="0.25">
      <c r="A641">
        <v>2</v>
      </c>
      <c r="B641">
        <v>775311</v>
      </c>
      <c r="C641" t="s">
        <v>5</v>
      </c>
      <c r="D641">
        <v>241</v>
      </c>
      <c r="E641">
        <v>44105</v>
      </c>
      <c r="F641">
        <v>1446</v>
      </c>
      <c r="G641">
        <v>662.75</v>
      </c>
    </row>
    <row r="642" spans="1:7" x14ac:dyDescent="0.25">
      <c r="A642">
        <v>4</v>
      </c>
      <c r="B642">
        <v>294390</v>
      </c>
      <c r="C642" t="s">
        <v>0</v>
      </c>
      <c r="D642">
        <v>1403</v>
      </c>
      <c r="E642">
        <v>43739</v>
      </c>
      <c r="F642">
        <v>1403</v>
      </c>
      <c r="G642">
        <v>701.5</v>
      </c>
    </row>
    <row r="643" spans="1:7" x14ac:dyDescent="0.25">
      <c r="A643">
        <v>3</v>
      </c>
      <c r="B643">
        <v>217341</v>
      </c>
      <c r="C643" t="s">
        <v>3</v>
      </c>
      <c r="D643">
        <v>278</v>
      </c>
      <c r="E643">
        <v>43862</v>
      </c>
      <c r="F643">
        <v>1390</v>
      </c>
      <c r="G643">
        <v>556</v>
      </c>
    </row>
    <row r="644" spans="1:7" x14ac:dyDescent="0.25">
      <c r="A644">
        <v>3</v>
      </c>
      <c r="B644">
        <v>779079</v>
      </c>
      <c r="C644" t="s">
        <v>0</v>
      </c>
      <c r="D644">
        <v>1384.5</v>
      </c>
      <c r="E644">
        <v>43831</v>
      </c>
      <c r="F644">
        <v>1384.5</v>
      </c>
      <c r="G644">
        <v>692.25</v>
      </c>
    </row>
    <row r="645" spans="1:7" x14ac:dyDescent="0.25">
      <c r="A645">
        <v>4</v>
      </c>
      <c r="B645">
        <v>892418</v>
      </c>
      <c r="C645" t="s">
        <v>0</v>
      </c>
      <c r="D645">
        <v>1375.5</v>
      </c>
      <c r="E645">
        <v>44013</v>
      </c>
      <c r="F645">
        <v>1375.5</v>
      </c>
      <c r="G645">
        <v>687.75</v>
      </c>
    </row>
    <row r="646" spans="1:7" x14ac:dyDescent="0.25">
      <c r="A646">
        <v>3</v>
      </c>
      <c r="B646">
        <v>817134</v>
      </c>
      <c r="C646" t="s">
        <v>3</v>
      </c>
      <c r="D646">
        <v>274</v>
      </c>
      <c r="E646">
        <v>44166</v>
      </c>
      <c r="F646">
        <v>1370</v>
      </c>
      <c r="G646">
        <v>548</v>
      </c>
    </row>
    <row r="647" spans="1:7" x14ac:dyDescent="0.25">
      <c r="A647">
        <v>4</v>
      </c>
      <c r="B647">
        <v>605154</v>
      </c>
      <c r="C647" t="s">
        <v>0</v>
      </c>
      <c r="D647">
        <v>1368</v>
      </c>
      <c r="E647">
        <v>43862</v>
      </c>
      <c r="F647">
        <v>1368</v>
      </c>
      <c r="G647">
        <v>684</v>
      </c>
    </row>
    <row r="648" spans="1:7" x14ac:dyDescent="0.25">
      <c r="A648">
        <v>4</v>
      </c>
      <c r="B648">
        <v>531656</v>
      </c>
      <c r="C648" t="s">
        <v>4</v>
      </c>
      <c r="D648">
        <v>270</v>
      </c>
      <c r="E648">
        <v>43862</v>
      </c>
      <c r="F648">
        <v>1350</v>
      </c>
      <c r="G648">
        <v>594</v>
      </c>
    </row>
    <row r="649" spans="1:7" x14ac:dyDescent="0.25">
      <c r="A649">
        <v>3</v>
      </c>
      <c r="B649">
        <v>609851</v>
      </c>
      <c r="C649" t="s">
        <v>3</v>
      </c>
      <c r="D649">
        <v>267</v>
      </c>
      <c r="E649">
        <v>43739</v>
      </c>
      <c r="F649">
        <v>1335</v>
      </c>
      <c r="G649">
        <v>534</v>
      </c>
    </row>
    <row r="650" spans="1:7" x14ac:dyDescent="0.25">
      <c r="A650">
        <v>3</v>
      </c>
      <c r="B650">
        <v>616987</v>
      </c>
      <c r="C650" t="s">
        <v>2</v>
      </c>
      <c r="D650">
        <v>330</v>
      </c>
      <c r="E650">
        <v>43709</v>
      </c>
      <c r="F650">
        <v>1320</v>
      </c>
      <c r="G650">
        <v>495</v>
      </c>
    </row>
    <row r="651" spans="1:7" x14ac:dyDescent="0.25">
      <c r="A651">
        <v>2</v>
      </c>
      <c r="B651">
        <v>633142</v>
      </c>
      <c r="C651" t="s">
        <v>1</v>
      </c>
      <c r="D651">
        <v>436.5</v>
      </c>
      <c r="E651">
        <v>44013</v>
      </c>
      <c r="F651">
        <v>1309.5</v>
      </c>
      <c r="G651">
        <v>545.625</v>
      </c>
    </row>
    <row r="652" spans="1:7" x14ac:dyDescent="0.25">
      <c r="A652">
        <v>3</v>
      </c>
      <c r="B652">
        <v>358353</v>
      </c>
      <c r="C652" t="s">
        <v>3</v>
      </c>
      <c r="D652">
        <v>260</v>
      </c>
      <c r="E652">
        <v>43862</v>
      </c>
      <c r="F652">
        <v>1300</v>
      </c>
      <c r="G652">
        <v>520</v>
      </c>
    </row>
    <row r="653" spans="1:7" x14ac:dyDescent="0.25">
      <c r="A653">
        <v>2</v>
      </c>
      <c r="B653">
        <v>541297</v>
      </c>
      <c r="C653" t="s">
        <v>0</v>
      </c>
      <c r="D653">
        <v>1298</v>
      </c>
      <c r="E653">
        <v>43862</v>
      </c>
      <c r="F653">
        <v>1298</v>
      </c>
      <c r="G653">
        <v>649</v>
      </c>
    </row>
    <row r="654" spans="1:7" x14ac:dyDescent="0.25">
      <c r="A654">
        <v>5</v>
      </c>
      <c r="B654">
        <v>494850</v>
      </c>
      <c r="C654" t="s">
        <v>1</v>
      </c>
      <c r="D654">
        <v>432</v>
      </c>
      <c r="E654">
        <v>44075</v>
      </c>
      <c r="F654">
        <v>1296</v>
      </c>
      <c r="G654">
        <v>540</v>
      </c>
    </row>
    <row r="655" spans="1:7" x14ac:dyDescent="0.25">
      <c r="A655">
        <v>3</v>
      </c>
      <c r="B655">
        <v>150101</v>
      </c>
      <c r="C655" t="s">
        <v>4</v>
      </c>
      <c r="D655">
        <v>259</v>
      </c>
      <c r="E655">
        <v>43891</v>
      </c>
      <c r="F655">
        <v>1295</v>
      </c>
      <c r="G655">
        <v>569.80000000000007</v>
      </c>
    </row>
    <row r="656" spans="1:7" x14ac:dyDescent="0.25">
      <c r="A656">
        <v>3</v>
      </c>
      <c r="B656">
        <v>637451</v>
      </c>
      <c r="C656" t="s">
        <v>0</v>
      </c>
      <c r="D656">
        <v>1287</v>
      </c>
      <c r="E656">
        <v>44166</v>
      </c>
      <c r="F656">
        <v>1287</v>
      </c>
      <c r="G656">
        <v>643.5</v>
      </c>
    </row>
    <row r="657" spans="1:7" x14ac:dyDescent="0.25">
      <c r="A657">
        <v>2</v>
      </c>
      <c r="B657">
        <v>566983</v>
      </c>
      <c r="C657" t="s">
        <v>3</v>
      </c>
      <c r="D657">
        <v>257</v>
      </c>
      <c r="E657">
        <v>43952</v>
      </c>
      <c r="F657">
        <v>1285</v>
      </c>
      <c r="G657">
        <v>514</v>
      </c>
    </row>
    <row r="658" spans="1:7" x14ac:dyDescent="0.25">
      <c r="A658">
        <v>3</v>
      </c>
      <c r="B658">
        <v>781308</v>
      </c>
      <c r="C658" t="s">
        <v>0</v>
      </c>
      <c r="D658">
        <v>1283</v>
      </c>
      <c r="E658">
        <v>43709</v>
      </c>
      <c r="F658">
        <v>1283</v>
      </c>
      <c r="G658">
        <v>641.5</v>
      </c>
    </row>
    <row r="659" spans="1:7" x14ac:dyDescent="0.25">
      <c r="A659">
        <v>1</v>
      </c>
      <c r="B659">
        <v>173001</v>
      </c>
      <c r="C659" t="s">
        <v>0</v>
      </c>
      <c r="D659">
        <v>1282</v>
      </c>
      <c r="E659">
        <v>43983</v>
      </c>
      <c r="F659">
        <v>1282</v>
      </c>
      <c r="G659">
        <v>641</v>
      </c>
    </row>
    <row r="660" spans="1:7" x14ac:dyDescent="0.25">
      <c r="A660">
        <v>1</v>
      </c>
      <c r="B660">
        <v>350494</v>
      </c>
      <c r="C660" t="s">
        <v>1</v>
      </c>
      <c r="D660">
        <v>422</v>
      </c>
      <c r="E660">
        <v>44044</v>
      </c>
      <c r="F660">
        <v>1266</v>
      </c>
      <c r="G660">
        <v>527.5</v>
      </c>
    </row>
    <row r="661" spans="1:7" x14ac:dyDescent="0.25">
      <c r="A661">
        <v>3</v>
      </c>
      <c r="B661">
        <v>505218</v>
      </c>
      <c r="C661" t="s">
        <v>0</v>
      </c>
      <c r="D661">
        <v>1249</v>
      </c>
      <c r="E661">
        <v>44105</v>
      </c>
      <c r="F661">
        <v>1249</v>
      </c>
      <c r="G661">
        <v>624.5</v>
      </c>
    </row>
    <row r="662" spans="1:7" x14ac:dyDescent="0.25">
      <c r="A662">
        <v>3</v>
      </c>
      <c r="B662">
        <v>565251</v>
      </c>
      <c r="C662" t="s">
        <v>3</v>
      </c>
      <c r="D662">
        <v>241</v>
      </c>
      <c r="E662">
        <v>44105</v>
      </c>
      <c r="F662">
        <v>1205</v>
      </c>
      <c r="G662">
        <v>482</v>
      </c>
    </row>
    <row r="663" spans="1:7" x14ac:dyDescent="0.25">
      <c r="A663">
        <v>5</v>
      </c>
      <c r="B663">
        <v>721311</v>
      </c>
      <c r="C663" t="s">
        <v>0</v>
      </c>
      <c r="D663">
        <v>1199</v>
      </c>
      <c r="E663">
        <v>43922</v>
      </c>
      <c r="F663">
        <v>1199</v>
      </c>
      <c r="G663">
        <v>599.5</v>
      </c>
    </row>
    <row r="664" spans="1:7" x14ac:dyDescent="0.25">
      <c r="A664">
        <v>1</v>
      </c>
      <c r="B664">
        <v>469636</v>
      </c>
      <c r="C664" t="s">
        <v>0</v>
      </c>
      <c r="D664">
        <v>1186</v>
      </c>
      <c r="E664">
        <v>43800</v>
      </c>
      <c r="F664">
        <v>1186</v>
      </c>
      <c r="G664">
        <v>593</v>
      </c>
    </row>
    <row r="665" spans="1:7" x14ac:dyDescent="0.25">
      <c r="A665">
        <v>3</v>
      </c>
      <c r="B665">
        <v>150704</v>
      </c>
      <c r="C665" t="s">
        <v>0</v>
      </c>
      <c r="D665">
        <v>1159</v>
      </c>
      <c r="E665">
        <v>43739</v>
      </c>
      <c r="F665">
        <v>1159</v>
      </c>
      <c r="G665">
        <v>579.5</v>
      </c>
    </row>
    <row r="666" spans="1:7" x14ac:dyDescent="0.25">
      <c r="A666">
        <v>3</v>
      </c>
      <c r="B666">
        <v>464364</v>
      </c>
      <c r="C666" t="s">
        <v>1</v>
      </c>
      <c r="D666">
        <v>381</v>
      </c>
      <c r="E666">
        <v>44044</v>
      </c>
      <c r="F666">
        <v>1143</v>
      </c>
      <c r="G666">
        <v>476.25</v>
      </c>
    </row>
    <row r="667" spans="1:7" x14ac:dyDescent="0.25">
      <c r="A667">
        <v>3</v>
      </c>
      <c r="B667">
        <v>652401</v>
      </c>
      <c r="C667" t="s">
        <v>0</v>
      </c>
      <c r="D667">
        <v>1142</v>
      </c>
      <c r="E667">
        <v>43983</v>
      </c>
      <c r="F667">
        <v>1142</v>
      </c>
      <c r="G667">
        <v>571</v>
      </c>
    </row>
    <row r="668" spans="1:7" x14ac:dyDescent="0.25">
      <c r="A668">
        <v>4</v>
      </c>
      <c r="B668">
        <v>130685</v>
      </c>
      <c r="C668" t="s">
        <v>0</v>
      </c>
      <c r="D668">
        <v>1138</v>
      </c>
      <c r="E668">
        <v>44166</v>
      </c>
      <c r="F668">
        <v>1138</v>
      </c>
      <c r="G668">
        <v>569</v>
      </c>
    </row>
    <row r="669" spans="1:7" x14ac:dyDescent="0.25">
      <c r="A669">
        <v>4</v>
      </c>
      <c r="B669">
        <v>684001</v>
      </c>
      <c r="C669" t="s">
        <v>2</v>
      </c>
      <c r="D669">
        <v>280</v>
      </c>
      <c r="E669">
        <v>44166</v>
      </c>
      <c r="F669">
        <v>1120</v>
      </c>
      <c r="G669">
        <v>420</v>
      </c>
    </row>
    <row r="670" spans="1:7" x14ac:dyDescent="0.25">
      <c r="A670">
        <v>1</v>
      </c>
      <c r="B670">
        <v>830981</v>
      </c>
      <c r="C670" t="s">
        <v>0</v>
      </c>
      <c r="D670">
        <v>1100</v>
      </c>
      <c r="E670">
        <v>43800</v>
      </c>
      <c r="F670">
        <v>1100</v>
      </c>
      <c r="G670">
        <v>550</v>
      </c>
    </row>
    <row r="671" spans="1:7" x14ac:dyDescent="0.25">
      <c r="A671">
        <v>4</v>
      </c>
      <c r="B671">
        <v>882680</v>
      </c>
      <c r="C671" t="s">
        <v>2</v>
      </c>
      <c r="D671">
        <v>274</v>
      </c>
      <c r="E671">
        <v>44166</v>
      </c>
      <c r="F671">
        <v>1096</v>
      </c>
      <c r="G671">
        <v>411</v>
      </c>
    </row>
    <row r="672" spans="1:7" x14ac:dyDescent="0.25">
      <c r="A672">
        <v>1</v>
      </c>
      <c r="B672">
        <v>675035</v>
      </c>
      <c r="C672" t="s">
        <v>3</v>
      </c>
      <c r="D672">
        <v>218</v>
      </c>
      <c r="E672">
        <v>44075</v>
      </c>
      <c r="F672">
        <v>1090</v>
      </c>
      <c r="G672">
        <v>436</v>
      </c>
    </row>
    <row r="673" spans="1:7" x14ac:dyDescent="0.25">
      <c r="A673">
        <v>4</v>
      </c>
      <c r="B673">
        <v>881898</v>
      </c>
      <c r="C673" t="s">
        <v>1</v>
      </c>
      <c r="D673">
        <v>360</v>
      </c>
      <c r="E673">
        <v>44105</v>
      </c>
      <c r="F673">
        <v>1080</v>
      </c>
      <c r="G673">
        <v>450</v>
      </c>
    </row>
    <row r="674" spans="1:7" x14ac:dyDescent="0.25">
      <c r="A674">
        <v>4</v>
      </c>
      <c r="B674">
        <v>680427</v>
      </c>
      <c r="C674" t="s">
        <v>2</v>
      </c>
      <c r="D674">
        <v>263</v>
      </c>
      <c r="E674">
        <v>43770</v>
      </c>
      <c r="F674">
        <v>1052</v>
      </c>
      <c r="G674">
        <v>394.5</v>
      </c>
    </row>
    <row r="675" spans="1:7" x14ac:dyDescent="0.25">
      <c r="A675">
        <v>1</v>
      </c>
      <c r="B675">
        <v>581507</v>
      </c>
      <c r="C675" t="s">
        <v>1</v>
      </c>
      <c r="D675">
        <v>349</v>
      </c>
      <c r="E675">
        <v>43709</v>
      </c>
      <c r="F675">
        <v>1047</v>
      </c>
      <c r="G675">
        <v>436.25</v>
      </c>
    </row>
    <row r="676" spans="1:7" x14ac:dyDescent="0.25">
      <c r="A676">
        <v>5</v>
      </c>
      <c r="B676">
        <v>727045</v>
      </c>
      <c r="C676" t="s">
        <v>1</v>
      </c>
      <c r="D676">
        <v>341</v>
      </c>
      <c r="E676">
        <v>43952</v>
      </c>
      <c r="F676">
        <v>1023</v>
      </c>
      <c r="G676">
        <v>426.25</v>
      </c>
    </row>
    <row r="677" spans="1:7" x14ac:dyDescent="0.25">
      <c r="A677">
        <v>1</v>
      </c>
      <c r="B677">
        <v>348844</v>
      </c>
      <c r="C677" t="s">
        <v>0</v>
      </c>
      <c r="D677">
        <v>982.5</v>
      </c>
      <c r="E677">
        <v>43831</v>
      </c>
      <c r="F677">
        <v>982.5</v>
      </c>
      <c r="G677">
        <v>491.25</v>
      </c>
    </row>
    <row r="678" spans="1:7" x14ac:dyDescent="0.25">
      <c r="A678">
        <v>1</v>
      </c>
      <c r="B678">
        <v>503244</v>
      </c>
      <c r="C678" t="s">
        <v>0</v>
      </c>
      <c r="D678">
        <v>980</v>
      </c>
      <c r="E678">
        <v>43922</v>
      </c>
      <c r="F678">
        <v>980</v>
      </c>
      <c r="G678">
        <v>490</v>
      </c>
    </row>
    <row r="679" spans="1:7" x14ac:dyDescent="0.25">
      <c r="A679">
        <v>3</v>
      </c>
      <c r="B679">
        <v>440487</v>
      </c>
      <c r="C679" t="s">
        <v>0</v>
      </c>
      <c r="D679">
        <v>958</v>
      </c>
      <c r="E679">
        <v>44044</v>
      </c>
      <c r="F679">
        <v>958</v>
      </c>
      <c r="G679">
        <v>479</v>
      </c>
    </row>
    <row r="680" spans="1:7" x14ac:dyDescent="0.25">
      <c r="A680">
        <v>3</v>
      </c>
      <c r="B680">
        <v>203604</v>
      </c>
      <c r="C680" t="s">
        <v>0</v>
      </c>
      <c r="D680">
        <v>921</v>
      </c>
      <c r="E680">
        <v>43891</v>
      </c>
      <c r="F680">
        <v>921</v>
      </c>
      <c r="G680">
        <v>460.5</v>
      </c>
    </row>
    <row r="681" spans="1:7" x14ac:dyDescent="0.25">
      <c r="A681">
        <v>1</v>
      </c>
      <c r="B681">
        <v>887151</v>
      </c>
      <c r="C681" t="s">
        <v>1</v>
      </c>
      <c r="D681">
        <v>293</v>
      </c>
      <c r="E681">
        <v>44166</v>
      </c>
      <c r="F681">
        <v>879</v>
      </c>
      <c r="G681">
        <v>366.25</v>
      </c>
    </row>
    <row r="682" spans="1:7" x14ac:dyDescent="0.25">
      <c r="A682">
        <v>1</v>
      </c>
      <c r="B682">
        <v>893967</v>
      </c>
      <c r="C682" t="s">
        <v>2</v>
      </c>
      <c r="D682">
        <v>214</v>
      </c>
      <c r="E682">
        <v>43739</v>
      </c>
      <c r="F682">
        <v>856</v>
      </c>
      <c r="G682">
        <v>321</v>
      </c>
    </row>
    <row r="683" spans="1:7" x14ac:dyDescent="0.25">
      <c r="A683">
        <v>3</v>
      </c>
      <c r="B683">
        <v>528145</v>
      </c>
      <c r="C683" t="s">
        <v>1</v>
      </c>
      <c r="D683">
        <v>280</v>
      </c>
      <c r="E683">
        <v>44166</v>
      </c>
      <c r="F683">
        <v>840</v>
      </c>
      <c r="G683">
        <v>350</v>
      </c>
    </row>
    <row r="684" spans="1:7" x14ac:dyDescent="0.25">
      <c r="A684">
        <v>4</v>
      </c>
      <c r="B684">
        <v>340032</v>
      </c>
      <c r="C684" t="s">
        <v>1</v>
      </c>
      <c r="D684">
        <v>269</v>
      </c>
      <c r="E684">
        <v>43739</v>
      </c>
      <c r="F684">
        <v>807</v>
      </c>
      <c r="G684">
        <v>336.25</v>
      </c>
    </row>
    <row r="685" spans="1:7" x14ac:dyDescent="0.25">
      <c r="A685">
        <v>1</v>
      </c>
      <c r="B685">
        <v>199727</v>
      </c>
      <c r="C685" t="s">
        <v>1</v>
      </c>
      <c r="D685">
        <v>267</v>
      </c>
      <c r="E685">
        <v>43739</v>
      </c>
      <c r="F685">
        <v>801</v>
      </c>
      <c r="G685">
        <v>333.75</v>
      </c>
    </row>
    <row r="686" spans="1:7" x14ac:dyDescent="0.25">
      <c r="A686">
        <v>5</v>
      </c>
      <c r="B686">
        <v>454417</v>
      </c>
      <c r="C686" t="s">
        <v>1</v>
      </c>
      <c r="D686">
        <v>266</v>
      </c>
      <c r="E686">
        <v>43800</v>
      </c>
      <c r="F686">
        <v>798</v>
      </c>
      <c r="G686">
        <v>332.5</v>
      </c>
    </row>
    <row r="687" spans="1:7" x14ac:dyDescent="0.25">
      <c r="A687">
        <v>4</v>
      </c>
      <c r="B687">
        <v>735280</v>
      </c>
      <c r="C687" t="s">
        <v>1</v>
      </c>
      <c r="D687">
        <v>263</v>
      </c>
      <c r="E687">
        <v>43891</v>
      </c>
      <c r="F687">
        <v>789</v>
      </c>
      <c r="G687">
        <v>328.75</v>
      </c>
    </row>
    <row r="688" spans="1:7" x14ac:dyDescent="0.25">
      <c r="A688">
        <v>5</v>
      </c>
      <c r="B688">
        <v>121208</v>
      </c>
      <c r="C688" t="s">
        <v>0</v>
      </c>
      <c r="D688">
        <v>766</v>
      </c>
      <c r="E688">
        <v>43831</v>
      </c>
      <c r="F688">
        <v>766</v>
      </c>
      <c r="G688">
        <v>383</v>
      </c>
    </row>
    <row r="689" spans="1:7" x14ac:dyDescent="0.25">
      <c r="A689">
        <v>4</v>
      </c>
      <c r="B689">
        <v>594945</v>
      </c>
      <c r="C689" t="s">
        <v>0</v>
      </c>
      <c r="D689">
        <v>720</v>
      </c>
      <c r="E689">
        <v>43709</v>
      </c>
      <c r="F689">
        <v>720</v>
      </c>
      <c r="G689">
        <v>360</v>
      </c>
    </row>
    <row r="690" spans="1:7" x14ac:dyDescent="0.25">
      <c r="A690">
        <v>5</v>
      </c>
      <c r="B690">
        <v>711452</v>
      </c>
      <c r="C690" t="s">
        <v>0</v>
      </c>
      <c r="D690">
        <v>711</v>
      </c>
      <c r="E690">
        <v>44166</v>
      </c>
      <c r="F690">
        <v>711</v>
      </c>
      <c r="G690">
        <v>355.5</v>
      </c>
    </row>
    <row r="691" spans="1:7" x14ac:dyDescent="0.25">
      <c r="A691">
        <v>5</v>
      </c>
      <c r="B691">
        <v>123331</v>
      </c>
      <c r="C691" t="s">
        <v>0</v>
      </c>
      <c r="D691">
        <v>708</v>
      </c>
      <c r="E691">
        <v>43983</v>
      </c>
      <c r="F691">
        <v>708</v>
      </c>
      <c r="G691">
        <v>354</v>
      </c>
    </row>
    <row r="692" spans="1:7" x14ac:dyDescent="0.25">
      <c r="A692">
        <v>3</v>
      </c>
      <c r="B692">
        <v>676869</v>
      </c>
      <c r="C692" t="s">
        <v>0</v>
      </c>
      <c r="D692">
        <v>690</v>
      </c>
      <c r="E692">
        <v>44136</v>
      </c>
      <c r="F692">
        <v>690</v>
      </c>
      <c r="G692">
        <v>345</v>
      </c>
    </row>
    <row r="693" spans="1:7" x14ac:dyDescent="0.25">
      <c r="A693">
        <v>3</v>
      </c>
      <c r="B693">
        <v>517456</v>
      </c>
      <c r="C693" t="s">
        <v>0</v>
      </c>
      <c r="D693">
        <v>677</v>
      </c>
      <c r="E693">
        <v>43891</v>
      </c>
      <c r="F693">
        <v>677</v>
      </c>
      <c r="G693">
        <v>338.5</v>
      </c>
    </row>
    <row r="694" spans="1:7" x14ac:dyDescent="0.25">
      <c r="A694">
        <v>5</v>
      </c>
      <c r="B694">
        <v>625570</v>
      </c>
      <c r="C694" t="s">
        <v>0</v>
      </c>
      <c r="D694">
        <v>663</v>
      </c>
      <c r="E694">
        <v>43739</v>
      </c>
      <c r="F694">
        <v>663</v>
      </c>
      <c r="G694">
        <v>331.5</v>
      </c>
    </row>
    <row r="695" spans="1:7" x14ac:dyDescent="0.25">
      <c r="A695">
        <v>4</v>
      </c>
      <c r="B695">
        <v>219898</v>
      </c>
      <c r="C695" t="s">
        <v>0</v>
      </c>
      <c r="D695">
        <v>645</v>
      </c>
      <c r="E695">
        <v>44013</v>
      </c>
      <c r="F695">
        <v>645</v>
      </c>
      <c r="G695">
        <v>322.5</v>
      </c>
    </row>
    <row r="696" spans="1:7" x14ac:dyDescent="0.25">
      <c r="A696">
        <v>5</v>
      </c>
      <c r="B696">
        <v>827058</v>
      </c>
      <c r="C696" t="s">
        <v>1</v>
      </c>
      <c r="D696">
        <v>214</v>
      </c>
      <c r="E696">
        <v>43739</v>
      </c>
      <c r="F696">
        <v>642</v>
      </c>
      <c r="G696">
        <v>267.5</v>
      </c>
    </row>
    <row r="697" spans="1:7" x14ac:dyDescent="0.25">
      <c r="A697">
        <v>3</v>
      </c>
      <c r="B697">
        <v>227728</v>
      </c>
      <c r="C697" t="s">
        <v>0</v>
      </c>
      <c r="D697">
        <v>615</v>
      </c>
      <c r="E697">
        <v>44166</v>
      </c>
      <c r="F697">
        <v>615</v>
      </c>
      <c r="G697">
        <v>307.5</v>
      </c>
    </row>
    <row r="698" spans="1:7" x14ac:dyDescent="0.25">
      <c r="A698">
        <v>5</v>
      </c>
      <c r="B698">
        <v>280321</v>
      </c>
      <c r="C698" t="s">
        <v>0</v>
      </c>
      <c r="D698">
        <v>604</v>
      </c>
      <c r="E698">
        <v>43983</v>
      </c>
      <c r="F698">
        <v>604</v>
      </c>
      <c r="G698">
        <v>302</v>
      </c>
    </row>
    <row r="699" spans="1:7" x14ac:dyDescent="0.25">
      <c r="A699">
        <v>2</v>
      </c>
      <c r="B699">
        <v>894001</v>
      </c>
      <c r="C699" t="s">
        <v>0</v>
      </c>
      <c r="D699">
        <v>546</v>
      </c>
      <c r="E699">
        <v>44105</v>
      </c>
      <c r="F699">
        <v>546</v>
      </c>
      <c r="G699">
        <v>273</v>
      </c>
    </row>
    <row r="700" spans="1:7" x14ac:dyDescent="0.25">
      <c r="A700">
        <v>2</v>
      </c>
      <c r="B700">
        <v>154432</v>
      </c>
      <c r="C700" t="s">
        <v>0</v>
      </c>
      <c r="D700">
        <v>544</v>
      </c>
      <c r="E700">
        <v>44075</v>
      </c>
      <c r="F700">
        <v>544</v>
      </c>
      <c r="G700">
        <v>272</v>
      </c>
    </row>
    <row r="701" spans="1:7" x14ac:dyDescent="0.25">
      <c r="A701">
        <v>5</v>
      </c>
      <c r="B701">
        <v>119754</v>
      </c>
      <c r="C701" t="s">
        <v>0</v>
      </c>
      <c r="D701">
        <v>488</v>
      </c>
      <c r="E701">
        <v>43862</v>
      </c>
      <c r="F701">
        <v>488</v>
      </c>
      <c r="G701">
        <v>244</v>
      </c>
    </row>
    <row r="702" spans="1:7" x14ac:dyDescent="0.25">
      <c r="A702">
        <v>2</v>
      </c>
      <c r="B702">
        <v>397049</v>
      </c>
      <c r="C702" t="s">
        <v>0</v>
      </c>
      <c r="D702">
        <v>388</v>
      </c>
      <c r="E702">
        <v>44075</v>
      </c>
      <c r="F702">
        <v>388</v>
      </c>
      <c r="G702">
        <v>194</v>
      </c>
    </row>
    <row r="703" spans="1:7" x14ac:dyDescent="0.25">
      <c r="A703">
        <v>5</v>
      </c>
      <c r="B703">
        <v>439030</v>
      </c>
      <c r="C703" t="s">
        <v>0</v>
      </c>
      <c r="D703">
        <v>345</v>
      </c>
      <c r="E703">
        <v>43739</v>
      </c>
      <c r="F703">
        <v>345</v>
      </c>
      <c r="G703">
        <v>172.5</v>
      </c>
    </row>
    <row r="704" spans="1:7" x14ac:dyDescent="0.25">
      <c r="A704">
        <v>5</v>
      </c>
      <c r="B704">
        <v>254540</v>
      </c>
      <c r="C704" t="s">
        <v>0</v>
      </c>
      <c r="D704">
        <v>334</v>
      </c>
      <c r="E704">
        <v>43800</v>
      </c>
      <c r="F704">
        <v>334</v>
      </c>
      <c r="G704">
        <v>167</v>
      </c>
    </row>
    <row r="705" spans="1:7" x14ac:dyDescent="0.25">
      <c r="A705">
        <v>2</v>
      </c>
      <c r="B705">
        <v>503591</v>
      </c>
      <c r="C705" t="s">
        <v>0</v>
      </c>
      <c r="D705">
        <v>322</v>
      </c>
      <c r="E705">
        <v>43709</v>
      </c>
      <c r="F705">
        <v>322</v>
      </c>
      <c r="G705">
        <v>161</v>
      </c>
    </row>
    <row r="706" spans="1:7" x14ac:dyDescent="0.25">
      <c r="A706">
        <v>4</v>
      </c>
      <c r="B706">
        <v>715966</v>
      </c>
      <c r="C706" t="s">
        <v>0</v>
      </c>
      <c r="D706">
        <v>293</v>
      </c>
      <c r="E706">
        <v>43862</v>
      </c>
      <c r="F706">
        <v>293</v>
      </c>
      <c r="G706">
        <v>146.5</v>
      </c>
    </row>
    <row r="707" spans="1:7" x14ac:dyDescent="0.25">
      <c r="A707">
        <v>2</v>
      </c>
      <c r="B707">
        <v>205221</v>
      </c>
      <c r="C707" t="s">
        <v>0</v>
      </c>
      <c r="D707">
        <v>200</v>
      </c>
      <c r="E707">
        <v>43952</v>
      </c>
      <c r="F707">
        <v>200</v>
      </c>
      <c r="G707">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65DEF-882A-4FD8-B4C7-FFA0B6F2F105}">
  <dimension ref="A1:K701"/>
  <sheetViews>
    <sheetView workbookViewId="0">
      <selection activeCell="K1" sqref="K1"/>
    </sheetView>
  </sheetViews>
  <sheetFormatPr defaultRowHeight="15" x14ac:dyDescent="0.25"/>
  <cols>
    <col min="1" max="1" width="14.7109375" bestFit="1" customWidth="1"/>
    <col min="2" max="2" width="11.28515625" bestFit="1" customWidth="1"/>
    <col min="3" max="3" width="30.5703125" bestFit="1" customWidth="1"/>
    <col min="4" max="4" width="12.28515625" bestFit="1" customWidth="1"/>
    <col min="5" max="5" width="10.28515625" style="1" customWidth="1"/>
    <col min="6" max="6" width="20.7109375" bestFit="1" customWidth="1"/>
    <col min="7" max="7" width="16.5703125" bestFit="1" customWidth="1"/>
    <col min="8" max="8" width="11.85546875" bestFit="1" customWidth="1"/>
    <col min="9" max="9" width="12.5703125" bestFit="1" customWidth="1"/>
    <col min="10" max="10" width="19.140625" bestFit="1" customWidth="1"/>
    <col min="11" max="11" width="13.140625" bestFit="1" customWidth="1"/>
  </cols>
  <sheetData>
    <row r="1" spans="1:11" x14ac:dyDescent="0.25">
      <c r="A1" s="13" t="s">
        <v>27</v>
      </c>
      <c r="B1" s="13" t="s">
        <v>10</v>
      </c>
      <c r="C1" s="13" t="s">
        <v>9</v>
      </c>
      <c r="D1" s="13" t="s">
        <v>8</v>
      </c>
      <c r="E1" s="14" t="s">
        <v>7</v>
      </c>
      <c r="F1" s="13" t="s">
        <v>6</v>
      </c>
      <c r="G1" s="13" t="s">
        <v>26</v>
      </c>
      <c r="H1" s="13" t="s">
        <v>52</v>
      </c>
      <c r="I1" s="13" t="s">
        <v>53</v>
      </c>
      <c r="J1" s="13" t="s">
        <v>54</v>
      </c>
      <c r="K1" s="13" t="s">
        <v>61</v>
      </c>
    </row>
    <row r="2" spans="1:11" x14ac:dyDescent="0.25">
      <c r="A2">
        <v>3</v>
      </c>
      <c r="B2">
        <v>397386</v>
      </c>
      <c r="C2" t="s">
        <v>5</v>
      </c>
      <c r="D2">
        <v>3997.5</v>
      </c>
      <c r="E2" s="1">
        <v>43831</v>
      </c>
      <c r="F2">
        <v>23985</v>
      </c>
      <c r="G2">
        <v>10993.125</v>
      </c>
      <c r="H2">
        <f>F2/D2</f>
        <v>6</v>
      </c>
      <c r="I2">
        <f>G2/D2</f>
        <v>2.75</v>
      </c>
      <c r="J2" s="35">
        <f>H2-I2</f>
        <v>3.25</v>
      </c>
      <c r="K2">
        <f>D2*J2</f>
        <v>12991.875</v>
      </c>
    </row>
    <row r="3" spans="1:11" x14ac:dyDescent="0.25">
      <c r="A3">
        <v>5</v>
      </c>
      <c r="B3">
        <v>613058</v>
      </c>
      <c r="C3" t="s">
        <v>5</v>
      </c>
      <c r="D3">
        <v>3864</v>
      </c>
      <c r="E3" s="1">
        <v>43922</v>
      </c>
      <c r="F3">
        <v>23184</v>
      </c>
      <c r="G3">
        <v>10626</v>
      </c>
      <c r="H3">
        <f t="shared" ref="H3:H66" si="0">F3/D3</f>
        <v>6</v>
      </c>
      <c r="I3">
        <f t="shared" ref="I3:I66" si="1">G3/D3</f>
        <v>2.75</v>
      </c>
      <c r="J3" s="35">
        <f t="shared" ref="J3:J66" si="2">H3-I3</f>
        <v>3.25</v>
      </c>
      <c r="K3">
        <f t="shared" ref="K3:K66" si="3">D3*J3</f>
        <v>12558</v>
      </c>
    </row>
    <row r="4" spans="1:11" x14ac:dyDescent="0.25">
      <c r="A4">
        <v>4</v>
      </c>
      <c r="B4">
        <v>766402</v>
      </c>
      <c r="C4" t="s">
        <v>5</v>
      </c>
      <c r="D4">
        <v>3850.5</v>
      </c>
      <c r="E4" s="1">
        <v>43922</v>
      </c>
      <c r="F4">
        <v>23103</v>
      </c>
      <c r="G4">
        <v>10588.875</v>
      </c>
      <c r="H4">
        <f t="shared" si="0"/>
        <v>6</v>
      </c>
      <c r="I4">
        <f t="shared" si="1"/>
        <v>2.75</v>
      </c>
      <c r="J4" s="35">
        <f t="shared" si="2"/>
        <v>3.25</v>
      </c>
      <c r="K4">
        <f t="shared" si="3"/>
        <v>12514.125</v>
      </c>
    </row>
    <row r="5" spans="1:11" x14ac:dyDescent="0.25">
      <c r="A5">
        <v>4</v>
      </c>
      <c r="B5">
        <v>710702</v>
      </c>
      <c r="C5" t="s">
        <v>5</v>
      </c>
      <c r="D5">
        <v>3793.5</v>
      </c>
      <c r="E5" s="1">
        <v>44013</v>
      </c>
      <c r="F5">
        <v>22761</v>
      </c>
      <c r="G5">
        <v>10432.125</v>
      </c>
      <c r="H5">
        <f t="shared" si="0"/>
        <v>6</v>
      </c>
      <c r="I5">
        <f t="shared" si="1"/>
        <v>2.75</v>
      </c>
      <c r="J5" s="35">
        <f t="shared" si="2"/>
        <v>3.25</v>
      </c>
      <c r="K5">
        <f t="shared" si="3"/>
        <v>12328.875</v>
      </c>
    </row>
    <row r="6" spans="1:11" x14ac:dyDescent="0.25">
      <c r="A6">
        <v>5</v>
      </c>
      <c r="B6">
        <v>283378</v>
      </c>
      <c r="C6" t="s">
        <v>3</v>
      </c>
      <c r="D6">
        <v>4492.5</v>
      </c>
      <c r="E6" s="1">
        <v>43922</v>
      </c>
      <c r="F6">
        <v>22462.5</v>
      </c>
      <c r="G6">
        <v>8985</v>
      </c>
      <c r="H6">
        <f t="shared" si="0"/>
        <v>5</v>
      </c>
      <c r="I6">
        <f t="shared" si="1"/>
        <v>2</v>
      </c>
      <c r="J6" s="35">
        <f t="shared" si="2"/>
        <v>3</v>
      </c>
      <c r="K6">
        <f t="shared" si="3"/>
        <v>13477.5</v>
      </c>
    </row>
    <row r="7" spans="1:11" x14ac:dyDescent="0.25">
      <c r="A7">
        <v>3</v>
      </c>
      <c r="B7">
        <v>239419</v>
      </c>
      <c r="C7" t="s">
        <v>3</v>
      </c>
      <c r="D7">
        <v>4251</v>
      </c>
      <c r="E7" s="1">
        <v>43831</v>
      </c>
      <c r="F7">
        <v>21255</v>
      </c>
      <c r="G7">
        <v>8502</v>
      </c>
      <c r="H7">
        <f t="shared" si="0"/>
        <v>5</v>
      </c>
      <c r="I7">
        <f t="shared" si="1"/>
        <v>2</v>
      </c>
      <c r="J7" s="35">
        <f t="shared" si="2"/>
        <v>3</v>
      </c>
      <c r="K7">
        <f t="shared" si="3"/>
        <v>12753</v>
      </c>
    </row>
    <row r="8" spans="1:11" x14ac:dyDescent="0.25">
      <c r="A8">
        <v>4</v>
      </c>
      <c r="B8">
        <v>739483</v>
      </c>
      <c r="C8" t="s">
        <v>4</v>
      </c>
      <c r="D8">
        <v>4219.5</v>
      </c>
      <c r="E8" s="1">
        <v>43922</v>
      </c>
      <c r="F8">
        <v>21097.5</v>
      </c>
      <c r="G8">
        <v>9282.9000000000015</v>
      </c>
      <c r="H8">
        <f t="shared" si="0"/>
        <v>5</v>
      </c>
      <c r="I8">
        <f t="shared" si="1"/>
        <v>2.2000000000000002</v>
      </c>
      <c r="J8" s="35">
        <f t="shared" si="2"/>
        <v>2.8</v>
      </c>
      <c r="K8">
        <f t="shared" si="3"/>
        <v>11814.599999999999</v>
      </c>
    </row>
    <row r="9" spans="1:11" x14ac:dyDescent="0.25">
      <c r="A9">
        <v>3</v>
      </c>
      <c r="B9">
        <v>253399</v>
      </c>
      <c r="C9" t="s">
        <v>3</v>
      </c>
      <c r="D9">
        <v>4026</v>
      </c>
      <c r="E9" s="1">
        <v>44013</v>
      </c>
      <c r="F9">
        <v>20130</v>
      </c>
      <c r="G9">
        <v>8052</v>
      </c>
      <c r="H9">
        <f t="shared" si="0"/>
        <v>5</v>
      </c>
      <c r="I9">
        <f t="shared" si="1"/>
        <v>2</v>
      </c>
      <c r="J9" s="35">
        <f t="shared" si="2"/>
        <v>3</v>
      </c>
      <c r="K9">
        <f t="shared" si="3"/>
        <v>12078</v>
      </c>
    </row>
    <row r="10" spans="1:11" x14ac:dyDescent="0.25">
      <c r="A10">
        <v>4</v>
      </c>
      <c r="B10">
        <v>361305</v>
      </c>
      <c r="C10" t="s">
        <v>3</v>
      </c>
      <c r="D10">
        <v>3945</v>
      </c>
      <c r="E10" s="1">
        <v>43831</v>
      </c>
      <c r="F10">
        <v>19725</v>
      </c>
      <c r="G10">
        <v>7890</v>
      </c>
      <c r="H10">
        <f t="shared" si="0"/>
        <v>5</v>
      </c>
      <c r="I10">
        <f t="shared" si="1"/>
        <v>2</v>
      </c>
      <c r="J10" s="35">
        <f t="shared" si="2"/>
        <v>3</v>
      </c>
      <c r="K10">
        <f t="shared" si="3"/>
        <v>11835</v>
      </c>
    </row>
    <row r="11" spans="1:11" x14ac:dyDescent="0.25">
      <c r="A11">
        <v>2</v>
      </c>
      <c r="B11">
        <v>603195</v>
      </c>
      <c r="C11" t="s">
        <v>3</v>
      </c>
      <c r="D11">
        <v>3801</v>
      </c>
      <c r="E11" s="1">
        <v>43922</v>
      </c>
      <c r="F11">
        <v>19005</v>
      </c>
      <c r="G11">
        <v>7602</v>
      </c>
      <c r="H11">
        <f t="shared" si="0"/>
        <v>5</v>
      </c>
      <c r="I11">
        <f t="shared" si="1"/>
        <v>2</v>
      </c>
      <c r="J11" s="35">
        <f t="shared" si="2"/>
        <v>3</v>
      </c>
      <c r="K11">
        <f t="shared" si="3"/>
        <v>11403</v>
      </c>
    </row>
    <row r="12" spans="1:11" x14ac:dyDescent="0.25">
      <c r="A12">
        <v>2</v>
      </c>
      <c r="B12">
        <v>643111</v>
      </c>
      <c r="C12" t="s">
        <v>3</v>
      </c>
      <c r="D12">
        <v>3675</v>
      </c>
      <c r="E12" s="1">
        <v>43922</v>
      </c>
      <c r="F12">
        <v>18375</v>
      </c>
      <c r="G12">
        <v>7350</v>
      </c>
      <c r="H12">
        <f t="shared" si="0"/>
        <v>5</v>
      </c>
      <c r="I12">
        <f t="shared" si="1"/>
        <v>2</v>
      </c>
      <c r="J12" s="35">
        <f t="shared" si="2"/>
        <v>3</v>
      </c>
      <c r="K12">
        <f t="shared" si="3"/>
        <v>11025</v>
      </c>
    </row>
    <row r="13" spans="1:11" x14ac:dyDescent="0.25">
      <c r="A13">
        <v>4</v>
      </c>
      <c r="B13">
        <v>861720</v>
      </c>
      <c r="C13" t="s">
        <v>5</v>
      </c>
      <c r="D13">
        <v>2966</v>
      </c>
      <c r="E13" s="1">
        <v>43739</v>
      </c>
      <c r="F13">
        <v>17796</v>
      </c>
      <c r="G13">
        <v>8156.5</v>
      </c>
      <c r="H13">
        <f t="shared" si="0"/>
        <v>6</v>
      </c>
      <c r="I13">
        <f t="shared" si="1"/>
        <v>2.75</v>
      </c>
      <c r="J13" s="35">
        <f t="shared" si="2"/>
        <v>3.25</v>
      </c>
      <c r="K13">
        <f t="shared" si="3"/>
        <v>9639.5</v>
      </c>
    </row>
    <row r="14" spans="1:11" x14ac:dyDescent="0.25">
      <c r="A14">
        <v>3</v>
      </c>
      <c r="B14">
        <v>272552</v>
      </c>
      <c r="C14" t="s">
        <v>4</v>
      </c>
      <c r="D14">
        <v>3520.5</v>
      </c>
      <c r="E14" s="1">
        <v>43922</v>
      </c>
      <c r="F14">
        <v>17602.5</v>
      </c>
      <c r="G14">
        <v>7745.1</v>
      </c>
      <c r="H14">
        <f t="shared" si="0"/>
        <v>5</v>
      </c>
      <c r="I14">
        <f t="shared" si="1"/>
        <v>2.2000000000000002</v>
      </c>
      <c r="J14" s="35">
        <f t="shared" si="2"/>
        <v>2.8</v>
      </c>
      <c r="K14">
        <f t="shared" si="3"/>
        <v>9857.4</v>
      </c>
    </row>
    <row r="15" spans="1:11" x14ac:dyDescent="0.25">
      <c r="A15">
        <v>4</v>
      </c>
      <c r="B15">
        <v>459019</v>
      </c>
      <c r="C15" t="s">
        <v>3</v>
      </c>
      <c r="D15">
        <v>3513</v>
      </c>
      <c r="E15" s="1">
        <v>44013</v>
      </c>
      <c r="F15">
        <v>17565</v>
      </c>
      <c r="G15">
        <v>7026</v>
      </c>
      <c r="H15">
        <f t="shared" si="0"/>
        <v>5</v>
      </c>
      <c r="I15">
        <f t="shared" si="1"/>
        <v>2</v>
      </c>
      <c r="J15" s="35">
        <f t="shared" si="2"/>
        <v>3</v>
      </c>
      <c r="K15">
        <f t="shared" si="3"/>
        <v>10539</v>
      </c>
    </row>
    <row r="16" spans="1:11" x14ac:dyDescent="0.25">
      <c r="A16">
        <v>2</v>
      </c>
      <c r="B16">
        <v>628402</v>
      </c>
      <c r="C16" t="s">
        <v>3</v>
      </c>
      <c r="D16">
        <v>3495</v>
      </c>
      <c r="E16" s="1">
        <v>43831</v>
      </c>
      <c r="F16">
        <v>17475</v>
      </c>
      <c r="G16">
        <v>6990</v>
      </c>
      <c r="H16">
        <f t="shared" si="0"/>
        <v>5</v>
      </c>
      <c r="I16">
        <f t="shared" si="1"/>
        <v>2</v>
      </c>
      <c r="J16" s="35">
        <f t="shared" si="2"/>
        <v>3</v>
      </c>
      <c r="K16">
        <f t="shared" si="3"/>
        <v>10485</v>
      </c>
    </row>
    <row r="17" spans="1:11" x14ac:dyDescent="0.25">
      <c r="A17">
        <v>3</v>
      </c>
      <c r="B17">
        <v>567117</v>
      </c>
      <c r="C17" t="s">
        <v>5</v>
      </c>
      <c r="D17">
        <v>2907</v>
      </c>
      <c r="E17" s="1">
        <v>43983</v>
      </c>
      <c r="F17">
        <v>17442</v>
      </c>
      <c r="G17">
        <v>7994.25</v>
      </c>
      <c r="H17">
        <f t="shared" si="0"/>
        <v>6</v>
      </c>
      <c r="I17">
        <f t="shared" si="1"/>
        <v>2.75</v>
      </c>
      <c r="J17" s="35">
        <f t="shared" si="2"/>
        <v>3.25</v>
      </c>
      <c r="K17">
        <f t="shared" si="3"/>
        <v>9447.75</v>
      </c>
    </row>
    <row r="18" spans="1:11" x14ac:dyDescent="0.25">
      <c r="A18">
        <v>2</v>
      </c>
      <c r="B18">
        <v>426268</v>
      </c>
      <c r="C18" t="s">
        <v>5</v>
      </c>
      <c r="D18">
        <v>2877</v>
      </c>
      <c r="E18" s="1">
        <v>44105</v>
      </c>
      <c r="F18">
        <v>17262</v>
      </c>
      <c r="G18">
        <v>7911.75</v>
      </c>
      <c r="H18">
        <f t="shared" si="0"/>
        <v>6</v>
      </c>
      <c r="I18">
        <f t="shared" si="1"/>
        <v>2.75</v>
      </c>
      <c r="J18" s="35">
        <f t="shared" si="2"/>
        <v>3.25</v>
      </c>
      <c r="K18">
        <f t="shared" si="3"/>
        <v>9350.25</v>
      </c>
    </row>
    <row r="19" spans="1:11" x14ac:dyDescent="0.25">
      <c r="A19">
        <v>2</v>
      </c>
      <c r="B19">
        <v>824253</v>
      </c>
      <c r="C19" t="s">
        <v>3</v>
      </c>
      <c r="D19">
        <v>3450</v>
      </c>
      <c r="E19" s="1">
        <v>44013</v>
      </c>
      <c r="F19">
        <v>17250</v>
      </c>
      <c r="G19">
        <v>6900</v>
      </c>
      <c r="H19">
        <f t="shared" si="0"/>
        <v>5</v>
      </c>
      <c r="I19">
        <f t="shared" si="1"/>
        <v>2</v>
      </c>
      <c r="J19" s="35">
        <f t="shared" si="2"/>
        <v>3</v>
      </c>
      <c r="K19">
        <f t="shared" si="3"/>
        <v>10350</v>
      </c>
    </row>
    <row r="20" spans="1:11" x14ac:dyDescent="0.25">
      <c r="A20">
        <v>5</v>
      </c>
      <c r="B20">
        <v>165918</v>
      </c>
      <c r="C20" t="s">
        <v>5</v>
      </c>
      <c r="D20">
        <v>2861</v>
      </c>
      <c r="E20" s="1">
        <v>43831</v>
      </c>
      <c r="F20">
        <v>17166</v>
      </c>
      <c r="G20">
        <v>7867.75</v>
      </c>
      <c r="H20">
        <f t="shared" si="0"/>
        <v>6</v>
      </c>
      <c r="I20">
        <f t="shared" si="1"/>
        <v>2.75</v>
      </c>
      <c r="J20" s="35">
        <f t="shared" si="2"/>
        <v>3.25</v>
      </c>
      <c r="K20">
        <f t="shared" si="3"/>
        <v>9298.25</v>
      </c>
    </row>
    <row r="21" spans="1:11" x14ac:dyDescent="0.25">
      <c r="A21">
        <v>3</v>
      </c>
      <c r="B21">
        <v>261362</v>
      </c>
      <c r="C21" t="s">
        <v>4</v>
      </c>
      <c r="D21">
        <v>3421.5</v>
      </c>
      <c r="E21" s="1">
        <v>44013</v>
      </c>
      <c r="F21">
        <v>17107.5</v>
      </c>
      <c r="G21">
        <v>7527.3</v>
      </c>
      <c r="H21">
        <f t="shared" si="0"/>
        <v>5</v>
      </c>
      <c r="I21">
        <f t="shared" si="1"/>
        <v>2.2000000000000002</v>
      </c>
      <c r="J21" s="35">
        <f t="shared" si="2"/>
        <v>2.8</v>
      </c>
      <c r="K21">
        <f t="shared" si="3"/>
        <v>9580.1999999999989</v>
      </c>
    </row>
    <row r="22" spans="1:11" x14ac:dyDescent="0.25">
      <c r="A22">
        <v>5</v>
      </c>
      <c r="B22">
        <v>864063</v>
      </c>
      <c r="C22" t="s">
        <v>5</v>
      </c>
      <c r="D22">
        <v>2832</v>
      </c>
      <c r="E22" s="1">
        <v>44044</v>
      </c>
      <c r="F22">
        <v>16992</v>
      </c>
      <c r="G22">
        <v>7788</v>
      </c>
      <c r="H22">
        <f t="shared" si="0"/>
        <v>6</v>
      </c>
      <c r="I22">
        <f t="shared" si="1"/>
        <v>2.75</v>
      </c>
      <c r="J22" s="35">
        <f t="shared" si="2"/>
        <v>3.25</v>
      </c>
      <c r="K22">
        <f t="shared" si="3"/>
        <v>9204</v>
      </c>
    </row>
    <row r="23" spans="1:11" x14ac:dyDescent="0.25">
      <c r="A23">
        <v>4</v>
      </c>
      <c r="B23">
        <v>765655</v>
      </c>
      <c r="C23" t="s">
        <v>2</v>
      </c>
      <c r="D23">
        <v>4243.5</v>
      </c>
      <c r="E23" s="1">
        <v>43922</v>
      </c>
      <c r="F23">
        <v>16974</v>
      </c>
      <c r="G23">
        <v>6365.25</v>
      </c>
      <c r="H23">
        <f t="shared" si="0"/>
        <v>4</v>
      </c>
      <c r="I23">
        <f t="shared" si="1"/>
        <v>1.5</v>
      </c>
      <c r="J23" s="35">
        <f t="shared" si="2"/>
        <v>2.5</v>
      </c>
      <c r="K23">
        <f t="shared" si="3"/>
        <v>10608.75</v>
      </c>
    </row>
    <row r="24" spans="1:11" x14ac:dyDescent="0.25">
      <c r="A24">
        <v>3</v>
      </c>
      <c r="B24">
        <v>853295</v>
      </c>
      <c r="C24" t="s">
        <v>5</v>
      </c>
      <c r="D24">
        <v>2826</v>
      </c>
      <c r="E24" s="1">
        <v>43952</v>
      </c>
      <c r="F24">
        <v>16956</v>
      </c>
      <c r="G24">
        <v>7771.5</v>
      </c>
      <c r="H24">
        <f t="shared" si="0"/>
        <v>6</v>
      </c>
      <c r="I24">
        <f t="shared" si="1"/>
        <v>2.75</v>
      </c>
      <c r="J24" s="35">
        <f t="shared" si="2"/>
        <v>3.25</v>
      </c>
      <c r="K24">
        <f t="shared" si="3"/>
        <v>9184.5</v>
      </c>
    </row>
    <row r="25" spans="1:11" x14ac:dyDescent="0.25">
      <c r="A25">
        <v>1</v>
      </c>
      <c r="B25">
        <v>685153</v>
      </c>
      <c r="C25" t="s">
        <v>5</v>
      </c>
      <c r="D25">
        <v>2821</v>
      </c>
      <c r="E25" s="1">
        <v>44044</v>
      </c>
      <c r="F25">
        <v>16926</v>
      </c>
      <c r="G25">
        <v>7757.75</v>
      </c>
      <c r="H25">
        <f t="shared" si="0"/>
        <v>6</v>
      </c>
      <c r="I25">
        <f t="shared" si="1"/>
        <v>2.75</v>
      </c>
      <c r="J25" s="35">
        <f t="shared" si="2"/>
        <v>3.25</v>
      </c>
      <c r="K25">
        <f t="shared" si="3"/>
        <v>9168.25</v>
      </c>
    </row>
    <row r="26" spans="1:11" x14ac:dyDescent="0.25">
      <c r="A26">
        <v>1</v>
      </c>
      <c r="B26">
        <v>494115</v>
      </c>
      <c r="C26" t="s">
        <v>5</v>
      </c>
      <c r="D26">
        <v>2805</v>
      </c>
      <c r="E26" s="1">
        <v>43709</v>
      </c>
      <c r="F26">
        <v>16830</v>
      </c>
      <c r="G26">
        <v>7713.75</v>
      </c>
      <c r="H26">
        <f t="shared" si="0"/>
        <v>6</v>
      </c>
      <c r="I26">
        <f t="shared" si="1"/>
        <v>2.75</v>
      </c>
      <c r="J26" s="35">
        <f t="shared" si="2"/>
        <v>3.25</v>
      </c>
      <c r="K26">
        <f t="shared" si="3"/>
        <v>9116.25</v>
      </c>
    </row>
    <row r="27" spans="1:11" x14ac:dyDescent="0.25">
      <c r="A27">
        <v>3</v>
      </c>
      <c r="B27">
        <v>218006</v>
      </c>
      <c r="C27" t="s">
        <v>5</v>
      </c>
      <c r="D27">
        <v>2755</v>
      </c>
      <c r="E27" s="1">
        <v>43862</v>
      </c>
      <c r="F27">
        <v>16530</v>
      </c>
      <c r="G27">
        <v>7576.25</v>
      </c>
      <c r="H27">
        <f t="shared" si="0"/>
        <v>6</v>
      </c>
      <c r="I27">
        <f t="shared" si="1"/>
        <v>2.75</v>
      </c>
      <c r="J27" s="35">
        <f t="shared" si="2"/>
        <v>3.25</v>
      </c>
      <c r="K27">
        <f t="shared" si="3"/>
        <v>8953.75</v>
      </c>
    </row>
    <row r="28" spans="1:11" x14ac:dyDescent="0.25">
      <c r="A28">
        <v>2</v>
      </c>
      <c r="B28">
        <v>104326</v>
      </c>
      <c r="C28" t="s">
        <v>4</v>
      </c>
      <c r="D28">
        <v>3199.5</v>
      </c>
      <c r="E28" s="1">
        <v>44013</v>
      </c>
      <c r="F28">
        <v>15997.5</v>
      </c>
      <c r="G28">
        <v>7038.9000000000005</v>
      </c>
      <c r="H28">
        <f t="shared" si="0"/>
        <v>5</v>
      </c>
      <c r="I28">
        <f t="shared" si="1"/>
        <v>2.2000000000000002</v>
      </c>
      <c r="J28" s="35">
        <f t="shared" si="2"/>
        <v>2.8</v>
      </c>
      <c r="K28">
        <f t="shared" si="3"/>
        <v>8958.5999999999985</v>
      </c>
    </row>
    <row r="29" spans="1:11" x14ac:dyDescent="0.25">
      <c r="A29">
        <v>4</v>
      </c>
      <c r="B29">
        <v>632477</v>
      </c>
      <c r="C29" t="s">
        <v>5</v>
      </c>
      <c r="D29">
        <v>2665</v>
      </c>
      <c r="E29" s="1">
        <v>44136</v>
      </c>
      <c r="F29">
        <v>15990</v>
      </c>
      <c r="G29">
        <v>7328.75</v>
      </c>
      <c r="H29">
        <f t="shared" si="0"/>
        <v>6</v>
      </c>
      <c r="I29">
        <f t="shared" si="1"/>
        <v>2.75</v>
      </c>
      <c r="J29" s="35">
        <f t="shared" si="2"/>
        <v>3.25</v>
      </c>
      <c r="K29">
        <f t="shared" si="3"/>
        <v>8661.25</v>
      </c>
    </row>
    <row r="30" spans="1:11" x14ac:dyDescent="0.25">
      <c r="A30">
        <v>4</v>
      </c>
      <c r="B30">
        <v>558048</v>
      </c>
      <c r="C30" t="s">
        <v>5</v>
      </c>
      <c r="D30">
        <v>2646</v>
      </c>
      <c r="E30" s="1">
        <v>43709</v>
      </c>
      <c r="F30">
        <v>15876</v>
      </c>
      <c r="G30">
        <v>7276.5</v>
      </c>
      <c r="H30">
        <f t="shared" si="0"/>
        <v>6</v>
      </c>
      <c r="I30">
        <f t="shared" si="1"/>
        <v>2.75</v>
      </c>
      <c r="J30" s="35">
        <f t="shared" si="2"/>
        <v>3.25</v>
      </c>
      <c r="K30">
        <f t="shared" si="3"/>
        <v>8599.5</v>
      </c>
    </row>
    <row r="31" spans="1:11" x14ac:dyDescent="0.25">
      <c r="A31">
        <v>3</v>
      </c>
      <c r="B31">
        <v>382237</v>
      </c>
      <c r="C31" t="s">
        <v>4</v>
      </c>
      <c r="D31">
        <v>3165</v>
      </c>
      <c r="E31" s="1">
        <v>43831</v>
      </c>
      <c r="F31">
        <v>15825</v>
      </c>
      <c r="G31">
        <v>6963.0000000000009</v>
      </c>
      <c r="H31">
        <f t="shared" si="0"/>
        <v>5</v>
      </c>
      <c r="I31">
        <f t="shared" si="1"/>
        <v>2.2000000000000002</v>
      </c>
      <c r="J31" s="35">
        <f t="shared" si="2"/>
        <v>2.8</v>
      </c>
      <c r="K31">
        <f t="shared" si="3"/>
        <v>8862</v>
      </c>
    </row>
    <row r="32" spans="1:11" x14ac:dyDescent="0.25">
      <c r="A32">
        <v>4</v>
      </c>
      <c r="B32">
        <v>488771</v>
      </c>
      <c r="C32" t="s">
        <v>5</v>
      </c>
      <c r="D32">
        <v>2632</v>
      </c>
      <c r="E32" s="1">
        <v>43983</v>
      </c>
      <c r="F32">
        <v>15792</v>
      </c>
      <c r="G32">
        <v>7238</v>
      </c>
      <c r="H32">
        <f t="shared" si="0"/>
        <v>6</v>
      </c>
      <c r="I32">
        <f t="shared" si="1"/>
        <v>2.75</v>
      </c>
      <c r="J32" s="35">
        <f t="shared" si="2"/>
        <v>3.25</v>
      </c>
      <c r="K32">
        <f t="shared" si="3"/>
        <v>8554</v>
      </c>
    </row>
    <row r="33" spans="1:11" x14ac:dyDescent="0.25">
      <c r="A33">
        <v>2</v>
      </c>
      <c r="B33">
        <v>507202</v>
      </c>
      <c r="C33" t="s">
        <v>5</v>
      </c>
      <c r="D33">
        <v>2628</v>
      </c>
      <c r="E33" s="1">
        <v>43922</v>
      </c>
      <c r="F33">
        <v>15768</v>
      </c>
      <c r="G33">
        <v>7227</v>
      </c>
      <c r="H33">
        <f t="shared" si="0"/>
        <v>6</v>
      </c>
      <c r="I33">
        <f t="shared" si="1"/>
        <v>2.75</v>
      </c>
      <c r="J33" s="35">
        <f t="shared" si="2"/>
        <v>3.25</v>
      </c>
      <c r="K33">
        <f t="shared" si="3"/>
        <v>8541</v>
      </c>
    </row>
    <row r="34" spans="1:11" x14ac:dyDescent="0.25">
      <c r="A34">
        <v>5</v>
      </c>
      <c r="B34">
        <v>814769</v>
      </c>
      <c r="C34" t="s">
        <v>5</v>
      </c>
      <c r="D34">
        <v>2605</v>
      </c>
      <c r="E34" s="1">
        <v>43770</v>
      </c>
      <c r="F34">
        <v>15630</v>
      </c>
      <c r="G34">
        <v>7163.75</v>
      </c>
      <c r="H34">
        <f t="shared" si="0"/>
        <v>6</v>
      </c>
      <c r="I34">
        <f t="shared" si="1"/>
        <v>2.75</v>
      </c>
      <c r="J34" s="35">
        <f t="shared" si="2"/>
        <v>3.25</v>
      </c>
      <c r="K34">
        <f t="shared" si="3"/>
        <v>8466.25</v>
      </c>
    </row>
    <row r="35" spans="1:11" x14ac:dyDescent="0.25">
      <c r="A35">
        <v>4</v>
      </c>
      <c r="B35">
        <v>208456</v>
      </c>
      <c r="C35" t="s">
        <v>5</v>
      </c>
      <c r="D35">
        <v>2574</v>
      </c>
      <c r="E35" s="1">
        <v>43770</v>
      </c>
      <c r="F35">
        <v>15444</v>
      </c>
      <c r="G35">
        <v>7078.5</v>
      </c>
      <c r="H35">
        <f t="shared" si="0"/>
        <v>6</v>
      </c>
      <c r="I35">
        <f t="shared" si="1"/>
        <v>2.75</v>
      </c>
      <c r="J35" s="35">
        <f t="shared" si="2"/>
        <v>3.25</v>
      </c>
      <c r="K35">
        <f t="shared" si="3"/>
        <v>8365.5</v>
      </c>
    </row>
    <row r="36" spans="1:11" x14ac:dyDescent="0.25">
      <c r="A36">
        <v>2</v>
      </c>
      <c r="B36">
        <v>752353</v>
      </c>
      <c r="C36" t="s">
        <v>5</v>
      </c>
      <c r="D36">
        <v>2536</v>
      </c>
      <c r="E36" s="1">
        <v>43770</v>
      </c>
      <c r="F36">
        <v>15216</v>
      </c>
      <c r="G36">
        <v>6974</v>
      </c>
      <c r="H36">
        <f t="shared" si="0"/>
        <v>6</v>
      </c>
      <c r="I36">
        <f t="shared" si="1"/>
        <v>2.75</v>
      </c>
      <c r="J36" s="35">
        <f t="shared" si="2"/>
        <v>3.25</v>
      </c>
      <c r="K36">
        <f t="shared" si="3"/>
        <v>8242</v>
      </c>
    </row>
    <row r="37" spans="1:11" x14ac:dyDescent="0.25">
      <c r="A37">
        <v>3</v>
      </c>
      <c r="B37">
        <v>215670</v>
      </c>
      <c r="C37" t="s">
        <v>4</v>
      </c>
      <c r="D37">
        <v>2993</v>
      </c>
      <c r="E37" s="1">
        <v>43891</v>
      </c>
      <c r="F37">
        <v>14965</v>
      </c>
      <c r="G37">
        <v>6584.6</v>
      </c>
      <c r="H37">
        <f t="shared" si="0"/>
        <v>5</v>
      </c>
      <c r="I37">
        <f t="shared" si="1"/>
        <v>2.2000000000000002</v>
      </c>
      <c r="J37" s="35">
        <f t="shared" si="2"/>
        <v>2.8</v>
      </c>
      <c r="K37">
        <f t="shared" si="3"/>
        <v>8380.4</v>
      </c>
    </row>
    <row r="38" spans="1:11" x14ac:dyDescent="0.25">
      <c r="A38">
        <v>3</v>
      </c>
      <c r="B38">
        <v>788375</v>
      </c>
      <c r="C38" t="s">
        <v>3</v>
      </c>
      <c r="D38">
        <v>2993</v>
      </c>
      <c r="E38" s="1">
        <v>44075</v>
      </c>
      <c r="F38">
        <v>14965</v>
      </c>
      <c r="G38">
        <v>5986</v>
      </c>
      <c r="H38">
        <f t="shared" si="0"/>
        <v>5</v>
      </c>
      <c r="I38">
        <f t="shared" si="1"/>
        <v>2</v>
      </c>
      <c r="J38" s="35">
        <f t="shared" si="2"/>
        <v>3</v>
      </c>
      <c r="K38">
        <f t="shared" si="3"/>
        <v>8979</v>
      </c>
    </row>
    <row r="39" spans="1:11" x14ac:dyDescent="0.25">
      <c r="A39">
        <v>2</v>
      </c>
      <c r="B39">
        <v>440377</v>
      </c>
      <c r="C39" t="s">
        <v>3</v>
      </c>
      <c r="D39">
        <v>2992</v>
      </c>
      <c r="E39" s="1">
        <v>43739</v>
      </c>
      <c r="F39">
        <v>14960</v>
      </c>
      <c r="G39">
        <v>5984</v>
      </c>
      <c r="H39">
        <f t="shared" si="0"/>
        <v>5</v>
      </c>
      <c r="I39">
        <f t="shared" si="1"/>
        <v>2</v>
      </c>
      <c r="J39" s="35">
        <f t="shared" si="2"/>
        <v>3</v>
      </c>
      <c r="K39">
        <f t="shared" si="3"/>
        <v>8976</v>
      </c>
    </row>
    <row r="40" spans="1:11" x14ac:dyDescent="0.25">
      <c r="A40">
        <v>3</v>
      </c>
      <c r="B40">
        <v>508782</v>
      </c>
      <c r="C40" t="s">
        <v>3</v>
      </c>
      <c r="D40">
        <v>2992</v>
      </c>
      <c r="E40" s="1">
        <v>43891</v>
      </c>
      <c r="F40">
        <v>14960</v>
      </c>
      <c r="G40">
        <v>5984</v>
      </c>
      <c r="H40">
        <f t="shared" si="0"/>
        <v>5</v>
      </c>
      <c r="I40">
        <f t="shared" si="1"/>
        <v>2</v>
      </c>
      <c r="J40" s="35">
        <f t="shared" si="2"/>
        <v>3</v>
      </c>
      <c r="K40">
        <f t="shared" si="3"/>
        <v>8976</v>
      </c>
    </row>
    <row r="41" spans="1:11" x14ac:dyDescent="0.25">
      <c r="A41">
        <v>3</v>
      </c>
      <c r="B41">
        <v>288851</v>
      </c>
      <c r="C41" t="s">
        <v>3</v>
      </c>
      <c r="D41">
        <v>2988</v>
      </c>
      <c r="E41" s="1">
        <v>44013</v>
      </c>
      <c r="F41">
        <v>14940</v>
      </c>
      <c r="G41">
        <v>5976</v>
      </c>
      <c r="H41">
        <f t="shared" si="0"/>
        <v>5</v>
      </c>
      <c r="I41">
        <f t="shared" si="1"/>
        <v>2</v>
      </c>
      <c r="J41" s="35">
        <f t="shared" si="2"/>
        <v>3</v>
      </c>
      <c r="K41">
        <f t="shared" si="3"/>
        <v>8964</v>
      </c>
    </row>
    <row r="42" spans="1:11" x14ac:dyDescent="0.25">
      <c r="A42">
        <v>3</v>
      </c>
      <c r="B42">
        <v>253215</v>
      </c>
      <c r="C42" t="s">
        <v>4</v>
      </c>
      <c r="D42">
        <v>2966</v>
      </c>
      <c r="E42" s="1">
        <v>43739</v>
      </c>
      <c r="F42">
        <v>14830</v>
      </c>
      <c r="G42">
        <v>6525.2000000000007</v>
      </c>
      <c r="H42">
        <f t="shared" si="0"/>
        <v>5</v>
      </c>
      <c r="I42">
        <f t="shared" si="1"/>
        <v>2.2000000000000002</v>
      </c>
      <c r="J42" s="35">
        <f t="shared" si="2"/>
        <v>2.8</v>
      </c>
      <c r="K42">
        <f t="shared" si="3"/>
        <v>8304.7999999999993</v>
      </c>
    </row>
    <row r="43" spans="1:11" x14ac:dyDescent="0.25">
      <c r="A43">
        <v>4</v>
      </c>
      <c r="B43">
        <v>233911</v>
      </c>
      <c r="C43" t="s">
        <v>5</v>
      </c>
      <c r="D43">
        <v>2460</v>
      </c>
      <c r="E43" s="1">
        <v>44013</v>
      </c>
      <c r="F43">
        <v>14760</v>
      </c>
      <c r="G43">
        <v>6765</v>
      </c>
      <c r="H43">
        <f t="shared" si="0"/>
        <v>6</v>
      </c>
      <c r="I43">
        <f t="shared" si="1"/>
        <v>2.75</v>
      </c>
      <c r="J43" s="35">
        <f t="shared" si="2"/>
        <v>3.25</v>
      </c>
      <c r="K43">
        <f t="shared" si="3"/>
        <v>7995</v>
      </c>
    </row>
    <row r="44" spans="1:11" x14ac:dyDescent="0.25">
      <c r="A44">
        <v>5</v>
      </c>
      <c r="B44">
        <v>854455</v>
      </c>
      <c r="C44" t="s">
        <v>3</v>
      </c>
      <c r="D44">
        <v>2931</v>
      </c>
      <c r="E44" s="1">
        <v>43709</v>
      </c>
      <c r="F44">
        <v>14655</v>
      </c>
      <c r="G44">
        <v>5862</v>
      </c>
      <c r="H44">
        <f t="shared" si="0"/>
        <v>5</v>
      </c>
      <c r="I44">
        <f t="shared" si="1"/>
        <v>2</v>
      </c>
      <c r="J44" s="35">
        <f t="shared" si="2"/>
        <v>3</v>
      </c>
      <c r="K44">
        <f t="shared" si="3"/>
        <v>8793</v>
      </c>
    </row>
    <row r="45" spans="1:11" x14ac:dyDescent="0.25">
      <c r="A45">
        <v>4</v>
      </c>
      <c r="B45">
        <v>727940</v>
      </c>
      <c r="C45" t="s">
        <v>5</v>
      </c>
      <c r="D45">
        <v>2438</v>
      </c>
      <c r="E45" s="1">
        <v>43800</v>
      </c>
      <c r="F45">
        <v>14628</v>
      </c>
      <c r="G45">
        <v>6704.5</v>
      </c>
      <c r="H45">
        <f t="shared" si="0"/>
        <v>6</v>
      </c>
      <c r="I45">
        <f t="shared" si="1"/>
        <v>2.75</v>
      </c>
      <c r="J45" s="35">
        <f t="shared" si="2"/>
        <v>3.25</v>
      </c>
      <c r="K45">
        <f t="shared" si="3"/>
        <v>7923.5</v>
      </c>
    </row>
    <row r="46" spans="1:11" x14ac:dyDescent="0.25">
      <c r="A46">
        <v>3</v>
      </c>
      <c r="B46">
        <v>549329</v>
      </c>
      <c r="C46" t="s">
        <v>3</v>
      </c>
      <c r="D46">
        <v>2918</v>
      </c>
      <c r="E46" s="1">
        <v>43952</v>
      </c>
      <c r="F46">
        <v>14590</v>
      </c>
      <c r="G46">
        <v>5836</v>
      </c>
      <c r="H46">
        <f t="shared" si="0"/>
        <v>5</v>
      </c>
      <c r="I46">
        <f t="shared" si="1"/>
        <v>2</v>
      </c>
      <c r="J46" s="35">
        <f t="shared" si="2"/>
        <v>3</v>
      </c>
      <c r="K46">
        <f t="shared" si="3"/>
        <v>8754</v>
      </c>
    </row>
    <row r="47" spans="1:11" x14ac:dyDescent="0.25">
      <c r="A47">
        <v>4</v>
      </c>
      <c r="B47">
        <v>673372</v>
      </c>
      <c r="C47" t="s">
        <v>5</v>
      </c>
      <c r="D47">
        <v>2431</v>
      </c>
      <c r="E47" s="1">
        <v>44166</v>
      </c>
      <c r="F47">
        <v>14586</v>
      </c>
      <c r="G47">
        <v>6685.25</v>
      </c>
      <c r="H47">
        <f t="shared" si="0"/>
        <v>6</v>
      </c>
      <c r="I47">
        <f t="shared" si="1"/>
        <v>2.75</v>
      </c>
      <c r="J47" s="35">
        <f t="shared" si="2"/>
        <v>3.25</v>
      </c>
      <c r="K47">
        <f t="shared" si="3"/>
        <v>7900.75</v>
      </c>
    </row>
    <row r="48" spans="1:11" x14ac:dyDescent="0.25">
      <c r="A48">
        <v>3</v>
      </c>
      <c r="B48">
        <v>898886</v>
      </c>
      <c r="C48" t="s">
        <v>3</v>
      </c>
      <c r="D48">
        <v>2914</v>
      </c>
      <c r="E48" s="1">
        <v>44105</v>
      </c>
      <c r="F48">
        <v>14570</v>
      </c>
      <c r="G48">
        <v>5828</v>
      </c>
      <c r="H48">
        <f t="shared" si="0"/>
        <v>5</v>
      </c>
      <c r="I48">
        <f t="shared" si="1"/>
        <v>2</v>
      </c>
      <c r="J48" s="35">
        <f t="shared" si="2"/>
        <v>3</v>
      </c>
      <c r="K48">
        <f t="shared" si="3"/>
        <v>8742</v>
      </c>
    </row>
    <row r="49" spans="1:11" x14ac:dyDescent="0.25">
      <c r="A49">
        <v>5</v>
      </c>
      <c r="B49">
        <v>841420</v>
      </c>
      <c r="C49" t="s">
        <v>4</v>
      </c>
      <c r="D49">
        <v>2914</v>
      </c>
      <c r="E49" s="1">
        <v>44105</v>
      </c>
      <c r="F49">
        <v>14570</v>
      </c>
      <c r="G49">
        <v>6410.8</v>
      </c>
      <c r="H49">
        <f t="shared" si="0"/>
        <v>5</v>
      </c>
      <c r="I49">
        <f t="shared" si="1"/>
        <v>2.2000000000000002</v>
      </c>
      <c r="J49" s="35">
        <f t="shared" si="2"/>
        <v>2.8</v>
      </c>
      <c r="K49">
        <f t="shared" si="3"/>
        <v>8159.2</v>
      </c>
    </row>
    <row r="50" spans="1:11" x14ac:dyDescent="0.25">
      <c r="A50">
        <v>3</v>
      </c>
      <c r="B50">
        <v>755930</v>
      </c>
      <c r="C50" t="s">
        <v>4</v>
      </c>
      <c r="D50">
        <v>2907</v>
      </c>
      <c r="E50" s="1">
        <v>43983</v>
      </c>
      <c r="F50">
        <v>14535</v>
      </c>
      <c r="G50">
        <v>6395.4000000000005</v>
      </c>
      <c r="H50">
        <f t="shared" si="0"/>
        <v>5</v>
      </c>
      <c r="I50">
        <f t="shared" si="1"/>
        <v>2.2000000000000002</v>
      </c>
      <c r="J50" s="35">
        <f t="shared" si="2"/>
        <v>2.8</v>
      </c>
      <c r="K50">
        <f t="shared" si="3"/>
        <v>8139.5999999999995</v>
      </c>
    </row>
    <row r="51" spans="1:11" x14ac:dyDescent="0.25">
      <c r="A51">
        <v>4</v>
      </c>
      <c r="B51">
        <v>160202</v>
      </c>
      <c r="C51" t="s">
        <v>3</v>
      </c>
      <c r="D51">
        <v>2905</v>
      </c>
      <c r="E51" s="1">
        <v>44136</v>
      </c>
      <c r="F51">
        <v>14525</v>
      </c>
      <c r="G51">
        <v>5810</v>
      </c>
      <c r="H51">
        <f t="shared" si="0"/>
        <v>5</v>
      </c>
      <c r="I51">
        <f t="shared" si="1"/>
        <v>2</v>
      </c>
      <c r="J51" s="35">
        <f t="shared" si="2"/>
        <v>3</v>
      </c>
      <c r="K51">
        <f t="shared" si="3"/>
        <v>8715</v>
      </c>
    </row>
    <row r="52" spans="1:11" x14ac:dyDescent="0.25">
      <c r="A52">
        <v>3</v>
      </c>
      <c r="B52">
        <v>271981</v>
      </c>
      <c r="C52" t="s">
        <v>4</v>
      </c>
      <c r="D52">
        <v>2876</v>
      </c>
      <c r="E52" s="1">
        <v>44075</v>
      </c>
      <c r="F52">
        <v>14380</v>
      </c>
      <c r="G52">
        <v>6327.2000000000007</v>
      </c>
      <c r="H52">
        <f t="shared" si="0"/>
        <v>5</v>
      </c>
      <c r="I52">
        <f t="shared" si="1"/>
        <v>2.2000000000000002</v>
      </c>
      <c r="J52" s="35">
        <f t="shared" si="2"/>
        <v>2.8</v>
      </c>
      <c r="K52">
        <f t="shared" si="3"/>
        <v>8052.7999999999993</v>
      </c>
    </row>
    <row r="53" spans="1:11" x14ac:dyDescent="0.25">
      <c r="A53">
        <v>5</v>
      </c>
      <c r="B53">
        <v>177011</v>
      </c>
      <c r="C53" t="s">
        <v>3</v>
      </c>
      <c r="D53">
        <v>2852</v>
      </c>
      <c r="E53" s="1">
        <v>44166</v>
      </c>
      <c r="F53">
        <v>14260</v>
      </c>
      <c r="G53">
        <v>5704</v>
      </c>
      <c r="H53">
        <f t="shared" si="0"/>
        <v>5</v>
      </c>
      <c r="I53">
        <f t="shared" si="1"/>
        <v>2</v>
      </c>
      <c r="J53" s="35">
        <f t="shared" si="2"/>
        <v>3</v>
      </c>
      <c r="K53">
        <f t="shared" si="3"/>
        <v>8556</v>
      </c>
    </row>
    <row r="54" spans="1:11" x14ac:dyDescent="0.25">
      <c r="A54">
        <v>4</v>
      </c>
      <c r="B54">
        <v>251968</v>
      </c>
      <c r="C54" t="s">
        <v>3</v>
      </c>
      <c r="D54">
        <v>2851</v>
      </c>
      <c r="E54" s="1">
        <v>43952</v>
      </c>
      <c r="F54">
        <v>14255</v>
      </c>
      <c r="G54">
        <v>5702</v>
      </c>
      <c r="H54">
        <f t="shared" si="0"/>
        <v>5</v>
      </c>
      <c r="I54">
        <f t="shared" si="1"/>
        <v>2</v>
      </c>
      <c r="J54" s="35">
        <f t="shared" si="2"/>
        <v>3</v>
      </c>
      <c r="K54">
        <f t="shared" si="3"/>
        <v>8553</v>
      </c>
    </row>
    <row r="55" spans="1:11" x14ac:dyDescent="0.25">
      <c r="A55">
        <v>2</v>
      </c>
      <c r="B55">
        <v>374115</v>
      </c>
      <c r="C55" t="s">
        <v>4</v>
      </c>
      <c r="D55">
        <v>2844</v>
      </c>
      <c r="E55" s="1">
        <v>43952</v>
      </c>
      <c r="F55">
        <v>14220</v>
      </c>
      <c r="G55">
        <v>6256.8</v>
      </c>
      <c r="H55">
        <f t="shared" si="0"/>
        <v>5</v>
      </c>
      <c r="I55">
        <f t="shared" si="1"/>
        <v>2.2000000000000002</v>
      </c>
      <c r="J55" s="35">
        <f t="shared" si="2"/>
        <v>2.8</v>
      </c>
      <c r="K55">
        <f t="shared" si="3"/>
        <v>7963.2</v>
      </c>
    </row>
    <row r="56" spans="1:11" x14ac:dyDescent="0.25">
      <c r="A56">
        <v>4</v>
      </c>
      <c r="B56">
        <v>507642</v>
      </c>
      <c r="C56" t="s">
        <v>5</v>
      </c>
      <c r="D56">
        <v>2338</v>
      </c>
      <c r="E56" s="1">
        <v>43983</v>
      </c>
      <c r="F56">
        <v>14028</v>
      </c>
      <c r="G56">
        <v>6429.5</v>
      </c>
      <c r="H56">
        <f t="shared" si="0"/>
        <v>6</v>
      </c>
      <c r="I56">
        <f t="shared" si="1"/>
        <v>2.75</v>
      </c>
      <c r="J56" s="35">
        <f t="shared" si="2"/>
        <v>3.25</v>
      </c>
      <c r="K56">
        <f t="shared" si="3"/>
        <v>7598.5</v>
      </c>
    </row>
    <row r="57" spans="1:11" x14ac:dyDescent="0.25">
      <c r="A57">
        <v>4</v>
      </c>
      <c r="B57">
        <v>307196</v>
      </c>
      <c r="C57" t="s">
        <v>3</v>
      </c>
      <c r="D57">
        <v>2797</v>
      </c>
      <c r="E57" s="1">
        <v>44166</v>
      </c>
      <c r="F57">
        <v>13985</v>
      </c>
      <c r="G57">
        <v>5594</v>
      </c>
      <c r="H57">
        <f t="shared" si="0"/>
        <v>5</v>
      </c>
      <c r="I57">
        <f t="shared" si="1"/>
        <v>2</v>
      </c>
      <c r="J57" s="35">
        <f t="shared" si="2"/>
        <v>3</v>
      </c>
      <c r="K57">
        <f t="shared" si="3"/>
        <v>8391</v>
      </c>
    </row>
    <row r="58" spans="1:11" x14ac:dyDescent="0.25">
      <c r="A58">
        <v>5</v>
      </c>
      <c r="B58">
        <v>867252</v>
      </c>
      <c r="C58" t="s">
        <v>3</v>
      </c>
      <c r="D58">
        <v>2763</v>
      </c>
      <c r="E58" s="1">
        <v>43770</v>
      </c>
      <c r="F58">
        <v>13815</v>
      </c>
      <c r="G58">
        <v>5526</v>
      </c>
      <c r="H58">
        <f t="shared" si="0"/>
        <v>5</v>
      </c>
      <c r="I58">
        <f t="shared" si="1"/>
        <v>2</v>
      </c>
      <c r="J58" s="35">
        <f t="shared" si="2"/>
        <v>3</v>
      </c>
      <c r="K58">
        <f t="shared" si="3"/>
        <v>8289</v>
      </c>
    </row>
    <row r="59" spans="1:11" x14ac:dyDescent="0.25">
      <c r="A59">
        <v>4</v>
      </c>
      <c r="B59">
        <v>410583</v>
      </c>
      <c r="C59" t="s">
        <v>4</v>
      </c>
      <c r="D59">
        <v>2761</v>
      </c>
      <c r="E59" s="1">
        <v>43709</v>
      </c>
      <c r="F59">
        <v>13805</v>
      </c>
      <c r="G59">
        <v>6074.2000000000007</v>
      </c>
      <c r="H59">
        <f t="shared" si="0"/>
        <v>5</v>
      </c>
      <c r="I59">
        <f t="shared" si="1"/>
        <v>2.2000000000000002</v>
      </c>
      <c r="J59" s="35">
        <f t="shared" si="2"/>
        <v>2.8</v>
      </c>
      <c r="K59">
        <f t="shared" si="3"/>
        <v>7730.7999999999993</v>
      </c>
    </row>
    <row r="60" spans="1:11" x14ac:dyDescent="0.25">
      <c r="A60">
        <v>3</v>
      </c>
      <c r="B60">
        <v>876370</v>
      </c>
      <c r="C60" t="s">
        <v>2</v>
      </c>
      <c r="D60">
        <v>3445.5</v>
      </c>
      <c r="E60" s="1">
        <v>43922</v>
      </c>
      <c r="F60">
        <v>13782</v>
      </c>
      <c r="G60">
        <v>5168.25</v>
      </c>
      <c r="H60">
        <f t="shared" si="0"/>
        <v>4</v>
      </c>
      <c r="I60">
        <f t="shared" si="1"/>
        <v>1.5</v>
      </c>
      <c r="J60" s="35">
        <f t="shared" si="2"/>
        <v>2.5</v>
      </c>
      <c r="K60">
        <f t="shared" si="3"/>
        <v>8613.75</v>
      </c>
    </row>
    <row r="61" spans="1:11" x14ac:dyDescent="0.25">
      <c r="A61">
        <v>3</v>
      </c>
      <c r="B61">
        <v>378254</v>
      </c>
      <c r="C61" t="s">
        <v>5</v>
      </c>
      <c r="D61">
        <v>2294</v>
      </c>
      <c r="E61" s="1">
        <v>43739</v>
      </c>
      <c r="F61">
        <v>13764</v>
      </c>
      <c r="G61">
        <v>6308.5</v>
      </c>
      <c r="H61">
        <f t="shared" si="0"/>
        <v>6</v>
      </c>
      <c r="I61">
        <f t="shared" si="1"/>
        <v>2.75</v>
      </c>
      <c r="J61" s="35">
        <f t="shared" si="2"/>
        <v>3.25</v>
      </c>
      <c r="K61">
        <f t="shared" si="3"/>
        <v>7455.5</v>
      </c>
    </row>
    <row r="62" spans="1:11" x14ac:dyDescent="0.25">
      <c r="A62">
        <v>3</v>
      </c>
      <c r="B62">
        <v>736328</v>
      </c>
      <c r="C62" t="s">
        <v>4</v>
      </c>
      <c r="D62">
        <v>2750</v>
      </c>
      <c r="E62" s="1">
        <v>43862</v>
      </c>
      <c r="F62">
        <v>13750</v>
      </c>
      <c r="G62">
        <v>6050.0000000000009</v>
      </c>
      <c r="H62">
        <f t="shared" si="0"/>
        <v>5</v>
      </c>
      <c r="I62">
        <f t="shared" si="1"/>
        <v>2.2000000000000002</v>
      </c>
      <c r="J62" s="35">
        <f t="shared" si="2"/>
        <v>2.8</v>
      </c>
      <c r="K62">
        <f t="shared" si="3"/>
        <v>7699.9999999999991</v>
      </c>
    </row>
    <row r="63" spans="1:11" x14ac:dyDescent="0.25">
      <c r="A63">
        <v>4</v>
      </c>
      <c r="B63">
        <v>723364</v>
      </c>
      <c r="C63" t="s">
        <v>4</v>
      </c>
      <c r="D63">
        <v>2734</v>
      </c>
      <c r="E63" s="1">
        <v>44105</v>
      </c>
      <c r="F63">
        <v>13670</v>
      </c>
      <c r="G63">
        <v>6014.8</v>
      </c>
      <c r="H63">
        <f t="shared" si="0"/>
        <v>5</v>
      </c>
      <c r="I63">
        <f t="shared" si="1"/>
        <v>2.2000000000000002</v>
      </c>
      <c r="J63" s="35">
        <f t="shared" si="2"/>
        <v>2.8</v>
      </c>
      <c r="K63">
        <f t="shared" si="3"/>
        <v>7655.2</v>
      </c>
    </row>
    <row r="64" spans="1:11" x14ac:dyDescent="0.25">
      <c r="A64">
        <v>2</v>
      </c>
      <c r="B64">
        <v>306694</v>
      </c>
      <c r="C64" t="s">
        <v>3</v>
      </c>
      <c r="D64">
        <v>2729</v>
      </c>
      <c r="E64" s="1">
        <v>44166</v>
      </c>
      <c r="F64">
        <v>13645</v>
      </c>
      <c r="G64">
        <v>5458</v>
      </c>
      <c r="H64">
        <f t="shared" si="0"/>
        <v>5</v>
      </c>
      <c r="I64">
        <f t="shared" si="1"/>
        <v>2</v>
      </c>
      <c r="J64" s="35">
        <f t="shared" si="2"/>
        <v>3</v>
      </c>
      <c r="K64">
        <f t="shared" si="3"/>
        <v>8187</v>
      </c>
    </row>
    <row r="65" spans="1:11" x14ac:dyDescent="0.25">
      <c r="A65">
        <v>2</v>
      </c>
      <c r="B65">
        <v>209116</v>
      </c>
      <c r="C65" t="s">
        <v>3</v>
      </c>
      <c r="D65">
        <v>2708</v>
      </c>
      <c r="E65" s="1">
        <v>43862</v>
      </c>
      <c r="F65">
        <v>13540</v>
      </c>
      <c r="G65">
        <v>5416</v>
      </c>
      <c r="H65">
        <f t="shared" si="0"/>
        <v>5</v>
      </c>
      <c r="I65">
        <f t="shared" si="1"/>
        <v>2</v>
      </c>
      <c r="J65" s="35">
        <f t="shared" si="2"/>
        <v>3</v>
      </c>
      <c r="K65">
        <f t="shared" si="3"/>
        <v>8124</v>
      </c>
    </row>
    <row r="66" spans="1:11" x14ac:dyDescent="0.25">
      <c r="A66">
        <v>3</v>
      </c>
      <c r="B66">
        <v>121808</v>
      </c>
      <c r="C66" t="s">
        <v>3</v>
      </c>
      <c r="D66">
        <v>2696</v>
      </c>
      <c r="E66" s="1">
        <v>44044</v>
      </c>
      <c r="F66">
        <v>13480</v>
      </c>
      <c r="G66">
        <v>5392</v>
      </c>
      <c r="H66">
        <f t="shared" si="0"/>
        <v>5</v>
      </c>
      <c r="I66">
        <f t="shared" si="1"/>
        <v>2</v>
      </c>
      <c r="J66" s="35">
        <f t="shared" si="2"/>
        <v>3</v>
      </c>
      <c r="K66">
        <f t="shared" si="3"/>
        <v>8088</v>
      </c>
    </row>
    <row r="67" spans="1:11" x14ac:dyDescent="0.25">
      <c r="A67">
        <v>5</v>
      </c>
      <c r="B67">
        <v>335658</v>
      </c>
      <c r="C67" t="s">
        <v>3</v>
      </c>
      <c r="D67">
        <v>2689</v>
      </c>
      <c r="E67" s="1">
        <v>44105</v>
      </c>
      <c r="F67">
        <v>13445</v>
      </c>
      <c r="G67">
        <v>5378</v>
      </c>
      <c r="H67">
        <f t="shared" ref="H67:H130" si="4">F67/D67</f>
        <v>5</v>
      </c>
      <c r="I67">
        <f t="shared" ref="I67:I130" si="5">G67/D67</f>
        <v>2</v>
      </c>
      <c r="J67" s="35">
        <f t="shared" ref="J67:J130" si="6">H67-I67</f>
        <v>3</v>
      </c>
      <c r="K67">
        <f t="shared" ref="K67:K130" si="7">D67*J67</f>
        <v>8067</v>
      </c>
    </row>
    <row r="68" spans="1:11" x14ac:dyDescent="0.25">
      <c r="A68">
        <v>4</v>
      </c>
      <c r="B68">
        <v>444225</v>
      </c>
      <c r="C68" t="s">
        <v>3</v>
      </c>
      <c r="D68">
        <v>2663</v>
      </c>
      <c r="E68" s="1">
        <v>44166</v>
      </c>
      <c r="F68">
        <v>13315</v>
      </c>
      <c r="G68">
        <v>5326</v>
      </c>
      <c r="H68">
        <f t="shared" si="4"/>
        <v>5</v>
      </c>
      <c r="I68">
        <f t="shared" si="5"/>
        <v>2</v>
      </c>
      <c r="J68" s="35">
        <f t="shared" si="6"/>
        <v>3</v>
      </c>
      <c r="K68">
        <f t="shared" si="7"/>
        <v>7989</v>
      </c>
    </row>
    <row r="69" spans="1:11" x14ac:dyDescent="0.25">
      <c r="A69">
        <v>3</v>
      </c>
      <c r="B69">
        <v>388978</v>
      </c>
      <c r="C69" t="s">
        <v>3</v>
      </c>
      <c r="D69">
        <v>2641</v>
      </c>
      <c r="E69" s="1">
        <v>43862</v>
      </c>
      <c r="F69">
        <v>13205</v>
      </c>
      <c r="G69">
        <v>5282</v>
      </c>
      <c r="H69">
        <f t="shared" si="4"/>
        <v>5</v>
      </c>
      <c r="I69">
        <f t="shared" si="5"/>
        <v>2</v>
      </c>
      <c r="J69" s="35">
        <f t="shared" si="6"/>
        <v>3</v>
      </c>
      <c r="K69">
        <f t="shared" si="7"/>
        <v>7923</v>
      </c>
    </row>
    <row r="70" spans="1:11" x14ac:dyDescent="0.25">
      <c r="A70">
        <v>2</v>
      </c>
      <c r="B70">
        <v>123693</v>
      </c>
      <c r="C70" t="s">
        <v>3</v>
      </c>
      <c r="D70">
        <v>2632</v>
      </c>
      <c r="E70" s="1">
        <v>43983</v>
      </c>
      <c r="F70">
        <v>13160</v>
      </c>
      <c r="G70">
        <v>5264</v>
      </c>
      <c r="H70">
        <f t="shared" si="4"/>
        <v>5</v>
      </c>
      <c r="I70">
        <f t="shared" si="5"/>
        <v>2</v>
      </c>
      <c r="J70" s="35">
        <f t="shared" si="6"/>
        <v>3</v>
      </c>
      <c r="K70">
        <f t="shared" si="7"/>
        <v>7896</v>
      </c>
    </row>
    <row r="71" spans="1:11" x14ac:dyDescent="0.25">
      <c r="A71">
        <v>4</v>
      </c>
      <c r="B71">
        <v>424398</v>
      </c>
      <c r="C71" t="s">
        <v>4</v>
      </c>
      <c r="D71">
        <v>2629</v>
      </c>
      <c r="E71" s="1">
        <v>43831</v>
      </c>
      <c r="F71">
        <v>13145</v>
      </c>
      <c r="G71">
        <v>5783.8</v>
      </c>
      <c r="H71">
        <f t="shared" si="4"/>
        <v>5</v>
      </c>
      <c r="I71">
        <f t="shared" si="5"/>
        <v>2.2000000000000002</v>
      </c>
      <c r="J71" s="35">
        <f t="shared" si="6"/>
        <v>2.8</v>
      </c>
      <c r="K71">
        <f t="shared" si="7"/>
        <v>7361.2</v>
      </c>
    </row>
    <row r="72" spans="1:11" x14ac:dyDescent="0.25">
      <c r="A72">
        <v>5</v>
      </c>
      <c r="B72">
        <v>587035</v>
      </c>
      <c r="C72" t="s">
        <v>3</v>
      </c>
      <c r="D72">
        <v>2620</v>
      </c>
      <c r="E72" s="1">
        <v>44075</v>
      </c>
      <c r="F72">
        <v>13100</v>
      </c>
      <c r="G72">
        <v>5240</v>
      </c>
      <c r="H72">
        <f t="shared" si="4"/>
        <v>5</v>
      </c>
      <c r="I72">
        <f t="shared" si="5"/>
        <v>2</v>
      </c>
      <c r="J72" s="35">
        <f t="shared" si="6"/>
        <v>3</v>
      </c>
      <c r="K72">
        <f t="shared" si="7"/>
        <v>7860</v>
      </c>
    </row>
    <row r="73" spans="1:11" x14ac:dyDescent="0.25">
      <c r="A73">
        <v>3</v>
      </c>
      <c r="B73">
        <v>375461</v>
      </c>
      <c r="C73" t="s">
        <v>5</v>
      </c>
      <c r="D73">
        <v>2177</v>
      </c>
      <c r="E73" s="1">
        <v>44105</v>
      </c>
      <c r="F73">
        <v>13062</v>
      </c>
      <c r="G73">
        <v>5986.75</v>
      </c>
      <c r="H73">
        <f t="shared" si="4"/>
        <v>6</v>
      </c>
      <c r="I73">
        <f t="shared" si="5"/>
        <v>2.75</v>
      </c>
      <c r="J73" s="35">
        <f t="shared" si="6"/>
        <v>3.25</v>
      </c>
      <c r="K73">
        <f t="shared" si="7"/>
        <v>7075.25</v>
      </c>
    </row>
    <row r="74" spans="1:11" x14ac:dyDescent="0.25">
      <c r="A74">
        <v>1</v>
      </c>
      <c r="B74">
        <v>806592</v>
      </c>
      <c r="C74" t="s">
        <v>5</v>
      </c>
      <c r="D74">
        <v>2161</v>
      </c>
      <c r="E74" s="1">
        <v>43891</v>
      </c>
      <c r="F74">
        <v>12966</v>
      </c>
      <c r="G74">
        <v>5942.75</v>
      </c>
      <c r="H74">
        <f t="shared" si="4"/>
        <v>6</v>
      </c>
      <c r="I74">
        <f t="shared" si="5"/>
        <v>2.75</v>
      </c>
      <c r="J74" s="35">
        <f t="shared" si="6"/>
        <v>3.25</v>
      </c>
      <c r="K74">
        <f t="shared" si="7"/>
        <v>7023.25</v>
      </c>
    </row>
    <row r="75" spans="1:11" x14ac:dyDescent="0.25">
      <c r="A75">
        <v>2</v>
      </c>
      <c r="B75">
        <v>431261</v>
      </c>
      <c r="C75" t="s">
        <v>5</v>
      </c>
      <c r="D75">
        <v>2145</v>
      </c>
      <c r="E75" s="1">
        <v>43739</v>
      </c>
      <c r="F75">
        <v>12870</v>
      </c>
      <c r="G75">
        <v>5898.75</v>
      </c>
      <c r="H75">
        <f t="shared" si="4"/>
        <v>6</v>
      </c>
      <c r="I75">
        <f t="shared" si="5"/>
        <v>2.75</v>
      </c>
      <c r="J75" s="35">
        <f t="shared" si="6"/>
        <v>3.25</v>
      </c>
      <c r="K75">
        <f t="shared" si="7"/>
        <v>6971.25</v>
      </c>
    </row>
    <row r="76" spans="1:11" x14ac:dyDescent="0.25">
      <c r="A76">
        <v>4</v>
      </c>
      <c r="B76">
        <v>702523</v>
      </c>
      <c r="C76" t="s">
        <v>4</v>
      </c>
      <c r="D76">
        <v>2574</v>
      </c>
      <c r="E76" s="1">
        <v>44044</v>
      </c>
      <c r="F76">
        <v>12870</v>
      </c>
      <c r="G76">
        <v>5662.8</v>
      </c>
      <c r="H76">
        <f t="shared" si="4"/>
        <v>5</v>
      </c>
      <c r="I76">
        <f t="shared" si="5"/>
        <v>2.2000000000000002</v>
      </c>
      <c r="J76" s="35">
        <f t="shared" si="6"/>
        <v>2.8</v>
      </c>
      <c r="K76">
        <f t="shared" si="7"/>
        <v>7207.2</v>
      </c>
    </row>
    <row r="77" spans="1:11" x14ac:dyDescent="0.25">
      <c r="A77">
        <v>2</v>
      </c>
      <c r="B77">
        <v>334678</v>
      </c>
      <c r="C77" t="s">
        <v>3</v>
      </c>
      <c r="D77">
        <v>2565</v>
      </c>
      <c r="E77" s="1">
        <v>43831</v>
      </c>
      <c r="F77">
        <v>12825</v>
      </c>
      <c r="G77">
        <v>5130</v>
      </c>
      <c r="H77">
        <f t="shared" si="4"/>
        <v>5</v>
      </c>
      <c r="I77">
        <f t="shared" si="5"/>
        <v>2</v>
      </c>
      <c r="J77" s="35">
        <f t="shared" si="6"/>
        <v>3</v>
      </c>
      <c r="K77">
        <f t="shared" si="7"/>
        <v>7695</v>
      </c>
    </row>
    <row r="78" spans="1:11" x14ac:dyDescent="0.25">
      <c r="A78">
        <v>3</v>
      </c>
      <c r="B78">
        <v>408804</v>
      </c>
      <c r="C78" t="s">
        <v>3</v>
      </c>
      <c r="D78">
        <v>2559</v>
      </c>
      <c r="E78" s="1">
        <v>44044</v>
      </c>
      <c r="F78">
        <v>12795</v>
      </c>
      <c r="G78">
        <v>5118</v>
      </c>
      <c r="H78">
        <f t="shared" si="4"/>
        <v>5</v>
      </c>
      <c r="I78">
        <f t="shared" si="5"/>
        <v>2</v>
      </c>
      <c r="J78" s="35">
        <f t="shared" si="6"/>
        <v>3</v>
      </c>
      <c r="K78">
        <f t="shared" si="7"/>
        <v>7677</v>
      </c>
    </row>
    <row r="79" spans="1:11" x14ac:dyDescent="0.25">
      <c r="A79">
        <v>4</v>
      </c>
      <c r="B79">
        <v>519269</v>
      </c>
      <c r="C79" t="s">
        <v>4</v>
      </c>
      <c r="D79">
        <v>2548</v>
      </c>
      <c r="E79" s="1">
        <v>43770</v>
      </c>
      <c r="F79">
        <v>12740</v>
      </c>
      <c r="G79">
        <v>5605.6</v>
      </c>
      <c r="H79">
        <f t="shared" si="4"/>
        <v>5</v>
      </c>
      <c r="I79">
        <f t="shared" si="5"/>
        <v>2.2000000000000002</v>
      </c>
      <c r="J79" s="35">
        <f t="shared" si="6"/>
        <v>2.8</v>
      </c>
      <c r="K79">
        <f t="shared" si="7"/>
        <v>7134.4</v>
      </c>
    </row>
    <row r="80" spans="1:11" x14ac:dyDescent="0.25">
      <c r="A80">
        <v>3</v>
      </c>
      <c r="B80">
        <v>844763</v>
      </c>
      <c r="C80" t="s">
        <v>3</v>
      </c>
      <c r="D80">
        <v>2535</v>
      </c>
      <c r="E80" s="1">
        <v>43922</v>
      </c>
      <c r="F80">
        <v>12675</v>
      </c>
      <c r="G80">
        <v>5070</v>
      </c>
      <c r="H80">
        <f t="shared" si="4"/>
        <v>5</v>
      </c>
      <c r="I80">
        <f t="shared" si="5"/>
        <v>2</v>
      </c>
      <c r="J80" s="35">
        <f t="shared" si="6"/>
        <v>3</v>
      </c>
      <c r="K80">
        <f t="shared" si="7"/>
        <v>7605</v>
      </c>
    </row>
    <row r="81" spans="1:11" x14ac:dyDescent="0.25">
      <c r="A81">
        <v>3</v>
      </c>
      <c r="B81">
        <v>436809</v>
      </c>
      <c r="C81" t="s">
        <v>3</v>
      </c>
      <c r="D81">
        <v>2532</v>
      </c>
      <c r="E81" s="1">
        <v>43922</v>
      </c>
      <c r="F81">
        <v>12660</v>
      </c>
      <c r="G81">
        <v>5064</v>
      </c>
      <c r="H81">
        <f t="shared" si="4"/>
        <v>5</v>
      </c>
      <c r="I81">
        <f t="shared" si="5"/>
        <v>2</v>
      </c>
      <c r="J81" s="35">
        <f t="shared" si="6"/>
        <v>3</v>
      </c>
      <c r="K81">
        <f t="shared" si="7"/>
        <v>7596</v>
      </c>
    </row>
    <row r="82" spans="1:11" x14ac:dyDescent="0.25">
      <c r="A82">
        <v>5</v>
      </c>
      <c r="B82">
        <v>764088</v>
      </c>
      <c r="C82" t="s">
        <v>5</v>
      </c>
      <c r="D82">
        <v>2110</v>
      </c>
      <c r="E82" s="1">
        <v>44075</v>
      </c>
      <c r="F82">
        <v>12660</v>
      </c>
      <c r="G82">
        <v>5802.5</v>
      </c>
      <c r="H82">
        <f t="shared" si="4"/>
        <v>6</v>
      </c>
      <c r="I82">
        <f t="shared" si="5"/>
        <v>2.75</v>
      </c>
      <c r="J82" s="35">
        <f t="shared" si="6"/>
        <v>3.25</v>
      </c>
      <c r="K82">
        <f t="shared" si="7"/>
        <v>6857.5</v>
      </c>
    </row>
    <row r="83" spans="1:11" x14ac:dyDescent="0.25">
      <c r="A83">
        <v>3</v>
      </c>
      <c r="B83">
        <v>684759</v>
      </c>
      <c r="C83" t="s">
        <v>3</v>
      </c>
      <c r="D83">
        <v>2518</v>
      </c>
      <c r="E83" s="1">
        <v>43983</v>
      </c>
      <c r="F83">
        <v>12590</v>
      </c>
      <c r="G83">
        <v>5036</v>
      </c>
      <c r="H83">
        <f t="shared" si="4"/>
        <v>5</v>
      </c>
      <c r="I83">
        <f t="shared" si="5"/>
        <v>2</v>
      </c>
      <c r="J83" s="35">
        <f t="shared" si="6"/>
        <v>3</v>
      </c>
      <c r="K83">
        <f t="shared" si="7"/>
        <v>7554</v>
      </c>
    </row>
    <row r="84" spans="1:11" x14ac:dyDescent="0.25">
      <c r="A84">
        <v>2</v>
      </c>
      <c r="B84">
        <v>894331</v>
      </c>
      <c r="C84" t="s">
        <v>5</v>
      </c>
      <c r="D84">
        <v>2092</v>
      </c>
      <c r="E84" s="1">
        <v>43770</v>
      </c>
      <c r="F84">
        <v>12552</v>
      </c>
      <c r="G84">
        <v>5753</v>
      </c>
      <c r="H84">
        <f t="shared" si="4"/>
        <v>6</v>
      </c>
      <c r="I84">
        <f t="shared" si="5"/>
        <v>2.75</v>
      </c>
      <c r="J84" s="35">
        <f t="shared" si="6"/>
        <v>3.25</v>
      </c>
      <c r="K84">
        <f t="shared" si="7"/>
        <v>6799</v>
      </c>
    </row>
    <row r="85" spans="1:11" x14ac:dyDescent="0.25">
      <c r="A85">
        <v>1</v>
      </c>
      <c r="B85">
        <v>529471</v>
      </c>
      <c r="C85" t="s">
        <v>5</v>
      </c>
      <c r="D85">
        <v>2087</v>
      </c>
      <c r="E85" s="1">
        <v>44075</v>
      </c>
      <c r="F85">
        <v>12522</v>
      </c>
      <c r="G85">
        <v>5739.25</v>
      </c>
      <c r="H85">
        <f t="shared" si="4"/>
        <v>6</v>
      </c>
      <c r="I85">
        <f t="shared" si="5"/>
        <v>2.75</v>
      </c>
      <c r="J85" s="35">
        <f t="shared" si="6"/>
        <v>3.25</v>
      </c>
      <c r="K85">
        <f t="shared" si="7"/>
        <v>6782.75</v>
      </c>
    </row>
    <row r="86" spans="1:11" x14ac:dyDescent="0.25">
      <c r="A86">
        <v>1</v>
      </c>
      <c r="B86">
        <v>881268</v>
      </c>
      <c r="C86" t="s">
        <v>5</v>
      </c>
      <c r="D86">
        <v>2076</v>
      </c>
      <c r="E86" s="1">
        <v>43739</v>
      </c>
      <c r="F86">
        <v>12456</v>
      </c>
      <c r="G86">
        <v>5709</v>
      </c>
      <c r="H86">
        <f t="shared" si="4"/>
        <v>6</v>
      </c>
      <c r="I86">
        <f t="shared" si="5"/>
        <v>2.75</v>
      </c>
      <c r="J86" s="35">
        <f t="shared" si="6"/>
        <v>3.25</v>
      </c>
      <c r="K86">
        <f t="shared" si="7"/>
        <v>6747</v>
      </c>
    </row>
    <row r="87" spans="1:11" x14ac:dyDescent="0.25">
      <c r="A87">
        <v>3</v>
      </c>
      <c r="B87">
        <v>683349</v>
      </c>
      <c r="C87" t="s">
        <v>4</v>
      </c>
      <c r="D87">
        <v>2475</v>
      </c>
      <c r="E87" s="1">
        <v>43891</v>
      </c>
      <c r="F87">
        <v>12375</v>
      </c>
      <c r="G87">
        <v>5445</v>
      </c>
      <c r="H87">
        <f t="shared" si="4"/>
        <v>5</v>
      </c>
      <c r="I87">
        <f t="shared" si="5"/>
        <v>2.2000000000000002</v>
      </c>
      <c r="J87" s="35">
        <f t="shared" si="6"/>
        <v>2.8</v>
      </c>
      <c r="K87">
        <f t="shared" si="7"/>
        <v>6930</v>
      </c>
    </row>
    <row r="88" spans="1:11" x14ac:dyDescent="0.25">
      <c r="A88">
        <v>4</v>
      </c>
      <c r="B88">
        <v>140516</v>
      </c>
      <c r="C88" t="s">
        <v>4</v>
      </c>
      <c r="D88">
        <v>2475</v>
      </c>
      <c r="E88" s="1">
        <v>44044</v>
      </c>
      <c r="F88">
        <v>12375</v>
      </c>
      <c r="G88">
        <v>5445</v>
      </c>
      <c r="H88">
        <f t="shared" si="4"/>
        <v>5</v>
      </c>
      <c r="I88">
        <f t="shared" si="5"/>
        <v>2.2000000000000002</v>
      </c>
      <c r="J88" s="35">
        <f t="shared" si="6"/>
        <v>2.8</v>
      </c>
      <c r="K88">
        <f t="shared" si="7"/>
        <v>6930</v>
      </c>
    </row>
    <row r="89" spans="1:11" x14ac:dyDescent="0.25">
      <c r="A89">
        <v>5</v>
      </c>
      <c r="B89">
        <v>703997</v>
      </c>
      <c r="C89" t="s">
        <v>3</v>
      </c>
      <c r="D89">
        <v>2472</v>
      </c>
      <c r="E89" s="1">
        <v>44075</v>
      </c>
      <c r="F89">
        <v>12360</v>
      </c>
      <c r="G89">
        <v>4944</v>
      </c>
      <c r="H89">
        <f t="shared" si="4"/>
        <v>5</v>
      </c>
      <c r="I89">
        <f t="shared" si="5"/>
        <v>2</v>
      </c>
      <c r="J89" s="35">
        <f t="shared" si="6"/>
        <v>3</v>
      </c>
      <c r="K89">
        <f t="shared" si="7"/>
        <v>7416</v>
      </c>
    </row>
    <row r="90" spans="1:11" x14ac:dyDescent="0.25">
      <c r="A90">
        <v>3</v>
      </c>
      <c r="B90">
        <v>864409</v>
      </c>
      <c r="C90" t="s">
        <v>3</v>
      </c>
      <c r="D90">
        <v>2470</v>
      </c>
      <c r="E90" s="1">
        <v>43709</v>
      </c>
      <c r="F90">
        <v>12350</v>
      </c>
      <c r="G90">
        <v>4940</v>
      </c>
      <c r="H90">
        <f t="shared" si="4"/>
        <v>5</v>
      </c>
      <c r="I90">
        <f t="shared" si="5"/>
        <v>2</v>
      </c>
      <c r="J90" s="35">
        <f t="shared" si="6"/>
        <v>3</v>
      </c>
      <c r="K90">
        <f t="shared" si="7"/>
        <v>7410</v>
      </c>
    </row>
    <row r="91" spans="1:11" x14ac:dyDescent="0.25">
      <c r="A91">
        <v>3</v>
      </c>
      <c r="B91">
        <v>496123</v>
      </c>
      <c r="C91" t="s">
        <v>3</v>
      </c>
      <c r="D91">
        <v>2460</v>
      </c>
      <c r="E91" s="1">
        <v>43983</v>
      </c>
      <c r="F91">
        <v>12300</v>
      </c>
      <c r="G91">
        <v>4920</v>
      </c>
      <c r="H91">
        <f t="shared" si="4"/>
        <v>5</v>
      </c>
      <c r="I91">
        <f t="shared" si="5"/>
        <v>2</v>
      </c>
      <c r="J91" s="35">
        <f t="shared" si="6"/>
        <v>3</v>
      </c>
      <c r="K91">
        <f t="shared" si="7"/>
        <v>7380</v>
      </c>
    </row>
    <row r="92" spans="1:11" x14ac:dyDescent="0.25">
      <c r="A92">
        <v>3</v>
      </c>
      <c r="B92">
        <v>235897</v>
      </c>
      <c r="C92" t="s">
        <v>4</v>
      </c>
      <c r="D92">
        <v>2460</v>
      </c>
      <c r="E92" s="1">
        <v>43983</v>
      </c>
      <c r="F92">
        <v>12300</v>
      </c>
      <c r="G92">
        <v>5412</v>
      </c>
      <c r="H92">
        <f t="shared" si="4"/>
        <v>5</v>
      </c>
      <c r="I92">
        <f t="shared" si="5"/>
        <v>2.2000000000000002</v>
      </c>
      <c r="J92" s="35">
        <f t="shared" si="6"/>
        <v>2.8</v>
      </c>
      <c r="K92">
        <f t="shared" si="7"/>
        <v>6888</v>
      </c>
    </row>
    <row r="93" spans="1:11" x14ac:dyDescent="0.25">
      <c r="A93">
        <v>3</v>
      </c>
      <c r="B93">
        <v>120842</v>
      </c>
      <c r="C93" t="s">
        <v>3</v>
      </c>
      <c r="D93">
        <v>2441</v>
      </c>
      <c r="E93" s="1">
        <v>44105</v>
      </c>
      <c r="F93">
        <v>12205</v>
      </c>
      <c r="G93">
        <v>4882</v>
      </c>
      <c r="H93">
        <f t="shared" si="4"/>
        <v>5</v>
      </c>
      <c r="I93">
        <f t="shared" si="5"/>
        <v>2</v>
      </c>
      <c r="J93" s="35">
        <f t="shared" si="6"/>
        <v>3</v>
      </c>
      <c r="K93">
        <f t="shared" si="7"/>
        <v>7323</v>
      </c>
    </row>
    <row r="94" spans="1:11" x14ac:dyDescent="0.25">
      <c r="A94">
        <v>2</v>
      </c>
      <c r="B94">
        <v>859158</v>
      </c>
      <c r="C94" t="s">
        <v>3</v>
      </c>
      <c r="D94">
        <v>2434.5</v>
      </c>
      <c r="E94" s="1">
        <v>43831</v>
      </c>
      <c r="F94">
        <v>12172.5</v>
      </c>
      <c r="G94">
        <v>4869</v>
      </c>
      <c r="H94">
        <f t="shared" si="4"/>
        <v>5</v>
      </c>
      <c r="I94">
        <f t="shared" si="5"/>
        <v>2</v>
      </c>
      <c r="J94" s="35">
        <f t="shared" si="6"/>
        <v>3</v>
      </c>
      <c r="K94">
        <f t="shared" si="7"/>
        <v>7303.5</v>
      </c>
    </row>
    <row r="95" spans="1:11" x14ac:dyDescent="0.25">
      <c r="A95">
        <v>5</v>
      </c>
      <c r="B95">
        <v>115582</v>
      </c>
      <c r="C95" t="s">
        <v>3</v>
      </c>
      <c r="D95">
        <v>2431</v>
      </c>
      <c r="E95" s="1">
        <v>44166</v>
      </c>
      <c r="F95">
        <v>12155</v>
      </c>
      <c r="G95">
        <v>4862</v>
      </c>
      <c r="H95">
        <f t="shared" si="4"/>
        <v>5</v>
      </c>
      <c r="I95">
        <f t="shared" si="5"/>
        <v>2</v>
      </c>
      <c r="J95" s="35">
        <f t="shared" si="6"/>
        <v>3</v>
      </c>
      <c r="K95">
        <f t="shared" si="7"/>
        <v>7293</v>
      </c>
    </row>
    <row r="96" spans="1:11" x14ac:dyDescent="0.25">
      <c r="A96">
        <v>4</v>
      </c>
      <c r="B96">
        <v>442121</v>
      </c>
      <c r="C96" t="s">
        <v>3</v>
      </c>
      <c r="D96">
        <v>2428</v>
      </c>
      <c r="E96" s="1">
        <v>43891</v>
      </c>
      <c r="F96">
        <v>12140</v>
      </c>
      <c r="G96">
        <v>4856</v>
      </c>
      <c r="H96">
        <f t="shared" si="4"/>
        <v>5</v>
      </c>
      <c r="I96">
        <f t="shared" si="5"/>
        <v>2</v>
      </c>
      <c r="J96" s="35">
        <f t="shared" si="6"/>
        <v>3</v>
      </c>
      <c r="K96">
        <f t="shared" si="7"/>
        <v>7284</v>
      </c>
    </row>
    <row r="97" spans="1:11" x14ac:dyDescent="0.25">
      <c r="A97">
        <v>2</v>
      </c>
      <c r="B97">
        <v>146841</v>
      </c>
      <c r="C97" t="s">
        <v>3</v>
      </c>
      <c r="D97">
        <v>2425.5</v>
      </c>
      <c r="E97" s="1">
        <v>44013</v>
      </c>
      <c r="F97">
        <v>12127.5</v>
      </c>
      <c r="G97">
        <v>4851</v>
      </c>
      <c r="H97">
        <f t="shared" si="4"/>
        <v>5</v>
      </c>
      <c r="I97">
        <f t="shared" si="5"/>
        <v>2</v>
      </c>
      <c r="J97" s="35">
        <f t="shared" si="6"/>
        <v>3</v>
      </c>
      <c r="K97">
        <f t="shared" si="7"/>
        <v>7276.5</v>
      </c>
    </row>
    <row r="98" spans="1:11" x14ac:dyDescent="0.25">
      <c r="A98">
        <v>5</v>
      </c>
      <c r="B98">
        <v>527753</v>
      </c>
      <c r="C98" t="s">
        <v>3</v>
      </c>
      <c r="D98">
        <v>2417</v>
      </c>
      <c r="E98" s="1">
        <v>43831</v>
      </c>
      <c r="F98">
        <v>12085</v>
      </c>
      <c r="G98">
        <v>4834</v>
      </c>
      <c r="H98">
        <f t="shared" si="4"/>
        <v>5</v>
      </c>
      <c r="I98">
        <f t="shared" si="5"/>
        <v>2</v>
      </c>
      <c r="J98" s="35">
        <f t="shared" si="6"/>
        <v>3</v>
      </c>
      <c r="K98">
        <f t="shared" si="7"/>
        <v>7251</v>
      </c>
    </row>
    <row r="99" spans="1:11" x14ac:dyDescent="0.25">
      <c r="A99">
        <v>4</v>
      </c>
      <c r="B99">
        <v>899743</v>
      </c>
      <c r="C99" t="s">
        <v>5</v>
      </c>
      <c r="D99">
        <v>2009</v>
      </c>
      <c r="E99" s="1">
        <v>44105</v>
      </c>
      <c r="F99">
        <v>12054</v>
      </c>
      <c r="G99">
        <v>5524.75</v>
      </c>
      <c r="H99">
        <f t="shared" si="4"/>
        <v>6</v>
      </c>
      <c r="I99">
        <f t="shared" si="5"/>
        <v>2.75</v>
      </c>
      <c r="J99" s="35">
        <f t="shared" si="6"/>
        <v>3.25</v>
      </c>
      <c r="K99">
        <f t="shared" si="7"/>
        <v>6529.25</v>
      </c>
    </row>
    <row r="100" spans="1:11" x14ac:dyDescent="0.25">
      <c r="A100">
        <v>3</v>
      </c>
      <c r="B100">
        <v>231476</v>
      </c>
      <c r="C100" t="s">
        <v>3</v>
      </c>
      <c r="D100">
        <v>2409</v>
      </c>
      <c r="E100" s="1">
        <v>43709</v>
      </c>
      <c r="F100">
        <v>12045</v>
      </c>
      <c r="G100">
        <v>4818</v>
      </c>
      <c r="H100">
        <f t="shared" si="4"/>
        <v>5</v>
      </c>
      <c r="I100">
        <f t="shared" si="5"/>
        <v>2</v>
      </c>
      <c r="J100" s="35">
        <f t="shared" si="6"/>
        <v>3</v>
      </c>
      <c r="K100">
        <f t="shared" si="7"/>
        <v>7227</v>
      </c>
    </row>
    <row r="101" spans="1:11" x14ac:dyDescent="0.25">
      <c r="A101">
        <v>1</v>
      </c>
      <c r="B101">
        <v>727283</v>
      </c>
      <c r="C101" t="s">
        <v>2</v>
      </c>
      <c r="D101">
        <v>2996</v>
      </c>
      <c r="E101" s="1">
        <v>43739</v>
      </c>
      <c r="F101">
        <v>11984</v>
      </c>
      <c r="G101">
        <v>4494</v>
      </c>
      <c r="H101">
        <f t="shared" si="4"/>
        <v>4</v>
      </c>
      <c r="I101">
        <f t="shared" si="5"/>
        <v>1.5</v>
      </c>
      <c r="J101" s="35">
        <f t="shared" si="6"/>
        <v>2.5</v>
      </c>
      <c r="K101">
        <f t="shared" si="7"/>
        <v>7490</v>
      </c>
    </row>
    <row r="102" spans="1:11" x14ac:dyDescent="0.25">
      <c r="A102">
        <v>4</v>
      </c>
      <c r="B102">
        <v>466133</v>
      </c>
      <c r="C102" t="s">
        <v>3</v>
      </c>
      <c r="D102">
        <v>2394</v>
      </c>
      <c r="E102" s="1">
        <v>44044</v>
      </c>
      <c r="F102">
        <v>11970</v>
      </c>
      <c r="G102">
        <v>4788</v>
      </c>
      <c r="H102">
        <f t="shared" si="4"/>
        <v>5</v>
      </c>
      <c r="I102">
        <f t="shared" si="5"/>
        <v>2</v>
      </c>
      <c r="J102" s="35">
        <f t="shared" si="6"/>
        <v>3</v>
      </c>
      <c r="K102">
        <f t="shared" si="7"/>
        <v>7182</v>
      </c>
    </row>
    <row r="103" spans="1:11" x14ac:dyDescent="0.25">
      <c r="A103">
        <v>4</v>
      </c>
      <c r="B103">
        <v>726489</v>
      </c>
      <c r="C103" t="s">
        <v>3</v>
      </c>
      <c r="D103">
        <v>2385</v>
      </c>
      <c r="E103" s="1">
        <v>43891</v>
      </c>
      <c r="F103">
        <v>11925</v>
      </c>
      <c r="G103">
        <v>4770</v>
      </c>
      <c r="H103">
        <f t="shared" si="4"/>
        <v>5</v>
      </c>
      <c r="I103">
        <f t="shared" si="5"/>
        <v>2</v>
      </c>
      <c r="J103" s="35">
        <f t="shared" si="6"/>
        <v>3</v>
      </c>
      <c r="K103">
        <f t="shared" si="7"/>
        <v>7155</v>
      </c>
    </row>
    <row r="104" spans="1:11" x14ac:dyDescent="0.25">
      <c r="A104">
        <v>4</v>
      </c>
      <c r="B104">
        <v>235009</v>
      </c>
      <c r="C104" t="s">
        <v>5</v>
      </c>
      <c r="D104">
        <v>1976</v>
      </c>
      <c r="E104" s="1">
        <v>44105</v>
      </c>
      <c r="F104">
        <v>11856</v>
      </c>
      <c r="G104">
        <v>5434</v>
      </c>
      <c r="H104">
        <f t="shared" si="4"/>
        <v>6</v>
      </c>
      <c r="I104">
        <f t="shared" si="5"/>
        <v>2.75</v>
      </c>
      <c r="J104" s="35">
        <f t="shared" si="6"/>
        <v>3.25</v>
      </c>
      <c r="K104">
        <f t="shared" si="7"/>
        <v>6422</v>
      </c>
    </row>
    <row r="105" spans="1:11" x14ac:dyDescent="0.25">
      <c r="A105">
        <v>4</v>
      </c>
      <c r="B105">
        <v>550816</v>
      </c>
      <c r="C105" t="s">
        <v>3</v>
      </c>
      <c r="D105">
        <v>2363</v>
      </c>
      <c r="E105" s="1">
        <v>43862</v>
      </c>
      <c r="F105">
        <v>11815</v>
      </c>
      <c r="G105">
        <v>4726</v>
      </c>
      <c r="H105">
        <f t="shared" si="4"/>
        <v>5</v>
      </c>
      <c r="I105">
        <f t="shared" si="5"/>
        <v>2</v>
      </c>
      <c r="J105" s="35">
        <f t="shared" si="6"/>
        <v>3</v>
      </c>
      <c r="K105">
        <f t="shared" si="7"/>
        <v>7089</v>
      </c>
    </row>
    <row r="106" spans="1:11" x14ac:dyDescent="0.25">
      <c r="A106">
        <v>2</v>
      </c>
      <c r="B106">
        <v>751733</v>
      </c>
      <c r="C106" t="s">
        <v>5</v>
      </c>
      <c r="D106">
        <v>1967</v>
      </c>
      <c r="E106" s="1">
        <v>43891</v>
      </c>
      <c r="F106">
        <v>11802</v>
      </c>
      <c r="G106">
        <v>5409.25</v>
      </c>
      <c r="H106">
        <f t="shared" si="4"/>
        <v>6</v>
      </c>
      <c r="I106">
        <f t="shared" si="5"/>
        <v>2.75</v>
      </c>
      <c r="J106" s="35">
        <f t="shared" si="6"/>
        <v>3.25</v>
      </c>
      <c r="K106">
        <f t="shared" si="7"/>
        <v>6392.75</v>
      </c>
    </row>
    <row r="107" spans="1:11" x14ac:dyDescent="0.25">
      <c r="A107">
        <v>2</v>
      </c>
      <c r="B107">
        <v>678731</v>
      </c>
      <c r="C107" t="s">
        <v>3</v>
      </c>
      <c r="D107">
        <v>2349</v>
      </c>
      <c r="E107" s="1">
        <v>43709</v>
      </c>
      <c r="F107">
        <v>11745</v>
      </c>
      <c r="G107">
        <v>4698</v>
      </c>
      <c r="H107">
        <f t="shared" si="4"/>
        <v>5</v>
      </c>
      <c r="I107">
        <f t="shared" si="5"/>
        <v>2</v>
      </c>
      <c r="J107" s="35">
        <f t="shared" si="6"/>
        <v>3</v>
      </c>
      <c r="K107">
        <f t="shared" si="7"/>
        <v>7047</v>
      </c>
    </row>
    <row r="108" spans="1:11" x14ac:dyDescent="0.25">
      <c r="A108">
        <v>1</v>
      </c>
      <c r="B108">
        <v>779126</v>
      </c>
      <c r="C108" t="s">
        <v>3</v>
      </c>
      <c r="D108">
        <v>2327</v>
      </c>
      <c r="E108" s="1">
        <v>43952</v>
      </c>
      <c r="F108">
        <v>11635</v>
      </c>
      <c r="G108">
        <v>4654</v>
      </c>
      <c r="H108">
        <f t="shared" si="4"/>
        <v>5</v>
      </c>
      <c r="I108">
        <f t="shared" si="5"/>
        <v>2</v>
      </c>
      <c r="J108" s="35">
        <f t="shared" si="6"/>
        <v>3</v>
      </c>
      <c r="K108">
        <f t="shared" si="7"/>
        <v>6981</v>
      </c>
    </row>
    <row r="109" spans="1:11" x14ac:dyDescent="0.25">
      <c r="A109">
        <v>1</v>
      </c>
      <c r="B109">
        <v>219485</v>
      </c>
      <c r="C109" t="s">
        <v>1</v>
      </c>
      <c r="D109">
        <v>3874.5</v>
      </c>
      <c r="E109" s="1">
        <v>44013</v>
      </c>
      <c r="F109">
        <v>11623.5</v>
      </c>
      <c r="G109">
        <v>4843.125</v>
      </c>
      <c r="H109">
        <f t="shared" si="4"/>
        <v>3</v>
      </c>
      <c r="I109">
        <f t="shared" si="5"/>
        <v>1.25</v>
      </c>
      <c r="J109" s="35">
        <f t="shared" si="6"/>
        <v>1.75</v>
      </c>
      <c r="K109">
        <f t="shared" si="7"/>
        <v>6780.375</v>
      </c>
    </row>
    <row r="110" spans="1:11" x14ac:dyDescent="0.25">
      <c r="A110">
        <v>2</v>
      </c>
      <c r="B110">
        <v>482625</v>
      </c>
      <c r="C110" t="s">
        <v>5</v>
      </c>
      <c r="D110">
        <v>1916</v>
      </c>
      <c r="E110" s="1">
        <v>43800</v>
      </c>
      <c r="F110">
        <v>11496</v>
      </c>
      <c r="G110">
        <v>5269</v>
      </c>
      <c r="H110">
        <f t="shared" si="4"/>
        <v>6</v>
      </c>
      <c r="I110">
        <f t="shared" si="5"/>
        <v>2.75</v>
      </c>
      <c r="J110" s="35">
        <f t="shared" si="6"/>
        <v>3.25</v>
      </c>
      <c r="K110">
        <f t="shared" si="7"/>
        <v>6227</v>
      </c>
    </row>
    <row r="111" spans="1:11" x14ac:dyDescent="0.25">
      <c r="A111">
        <v>3</v>
      </c>
      <c r="B111">
        <v>176592</v>
      </c>
      <c r="C111" t="s">
        <v>3</v>
      </c>
      <c r="D111">
        <v>2299</v>
      </c>
      <c r="E111" s="1">
        <v>43739</v>
      </c>
      <c r="F111">
        <v>11495</v>
      </c>
      <c r="G111">
        <v>4598</v>
      </c>
      <c r="H111">
        <f t="shared" si="4"/>
        <v>5</v>
      </c>
      <c r="I111">
        <f t="shared" si="5"/>
        <v>2</v>
      </c>
      <c r="J111" s="35">
        <f t="shared" si="6"/>
        <v>3</v>
      </c>
      <c r="K111">
        <f t="shared" si="7"/>
        <v>6897</v>
      </c>
    </row>
    <row r="112" spans="1:11" x14ac:dyDescent="0.25">
      <c r="A112">
        <v>4</v>
      </c>
      <c r="B112">
        <v>579016</v>
      </c>
      <c r="C112" t="s">
        <v>3</v>
      </c>
      <c r="D112">
        <v>2296</v>
      </c>
      <c r="E112" s="1">
        <v>43862</v>
      </c>
      <c r="F112">
        <v>11480</v>
      </c>
      <c r="G112">
        <v>4592</v>
      </c>
      <c r="H112">
        <f t="shared" si="4"/>
        <v>5</v>
      </c>
      <c r="I112">
        <f t="shared" si="5"/>
        <v>2</v>
      </c>
      <c r="J112" s="35">
        <f t="shared" si="6"/>
        <v>3</v>
      </c>
      <c r="K112">
        <f t="shared" si="7"/>
        <v>6888</v>
      </c>
    </row>
    <row r="113" spans="1:11" x14ac:dyDescent="0.25">
      <c r="A113">
        <v>1</v>
      </c>
      <c r="B113">
        <v>866409</v>
      </c>
      <c r="C113" t="s">
        <v>2</v>
      </c>
      <c r="D113">
        <v>2852</v>
      </c>
      <c r="E113" s="1">
        <v>44166</v>
      </c>
      <c r="F113">
        <v>11408</v>
      </c>
      <c r="G113">
        <v>4278</v>
      </c>
      <c r="H113">
        <f t="shared" si="4"/>
        <v>4</v>
      </c>
      <c r="I113">
        <f t="shared" si="5"/>
        <v>1.5</v>
      </c>
      <c r="J113" s="35">
        <f t="shared" si="6"/>
        <v>2.5</v>
      </c>
      <c r="K113">
        <f t="shared" si="7"/>
        <v>7130</v>
      </c>
    </row>
    <row r="114" spans="1:11" x14ac:dyDescent="0.25">
      <c r="A114">
        <v>2</v>
      </c>
      <c r="B114">
        <v>654585</v>
      </c>
      <c r="C114" t="s">
        <v>2</v>
      </c>
      <c r="D114">
        <v>2851</v>
      </c>
      <c r="E114" s="1">
        <v>43739</v>
      </c>
      <c r="F114">
        <v>11404</v>
      </c>
      <c r="G114">
        <v>4276.5</v>
      </c>
      <c r="H114">
        <f t="shared" si="4"/>
        <v>4</v>
      </c>
      <c r="I114">
        <f t="shared" si="5"/>
        <v>1.5</v>
      </c>
      <c r="J114" s="35">
        <f t="shared" si="6"/>
        <v>2.5</v>
      </c>
      <c r="K114">
        <f t="shared" si="7"/>
        <v>7127.5</v>
      </c>
    </row>
    <row r="115" spans="1:11" x14ac:dyDescent="0.25">
      <c r="A115">
        <v>4</v>
      </c>
      <c r="B115">
        <v>655952</v>
      </c>
      <c r="C115" t="s">
        <v>4</v>
      </c>
      <c r="D115">
        <v>2276</v>
      </c>
      <c r="E115" s="1">
        <v>43952</v>
      </c>
      <c r="F115">
        <v>11380</v>
      </c>
      <c r="G115">
        <v>5007.2000000000007</v>
      </c>
      <c r="H115">
        <f t="shared" si="4"/>
        <v>5</v>
      </c>
      <c r="I115">
        <f t="shared" si="5"/>
        <v>2.2000000000000002</v>
      </c>
      <c r="J115" s="35">
        <f t="shared" si="6"/>
        <v>2.8</v>
      </c>
      <c r="K115">
        <f t="shared" si="7"/>
        <v>6372.7999999999993</v>
      </c>
    </row>
    <row r="116" spans="1:11" x14ac:dyDescent="0.25">
      <c r="A116">
        <v>2</v>
      </c>
      <c r="B116">
        <v>779393</v>
      </c>
      <c r="C116" t="s">
        <v>2</v>
      </c>
      <c r="D116">
        <v>2844</v>
      </c>
      <c r="E116" s="1">
        <v>43983</v>
      </c>
      <c r="F116">
        <v>11376</v>
      </c>
      <c r="G116">
        <v>4266</v>
      </c>
      <c r="H116">
        <f t="shared" si="4"/>
        <v>4</v>
      </c>
      <c r="I116">
        <f t="shared" si="5"/>
        <v>1.5</v>
      </c>
      <c r="J116" s="35">
        <f t="shared" si="6"/>
        <v>2.5</v>
      </c>
      <c r="K116">
        <f t="shared" si="7"/>
        <v>7110</v>
      </c>
    </row>
    <row r="117" spans="1:11" x14ac:dyDescent="0.25">
      <c r="A117">
        <v>2</v>
      </c>
      <c r="B117">
        <v>738910</v>
      </c>
      <c r="C117" t="s">
        <v>3</v>
      </c>
      <c r="D117">
        <v>2261</v>
      </c>
      <c r="E117" s="1">
        <v>43800</v>
      </c>
      <c r="F117">
        <v>11305</v>
      </c>
      <c r="G117">
        <v>4522</v>
      </c>
      <c r="H117">
        <f t="shared" si="4"/>
        <v>5</v>
      </c>
      <c r="I117">
        <f t="shared" si="5"/>
        <v>2</v>
      </c>
      <c r="J117" s="35">
        <f t="shared" si="6"/>
        <v>3</v>
      </c>
      <c r="K117">
        <f t="shared" si="7"/>
        <v>6783</v>
      </c>
    </row>
    <row r="118" spans="1:11" x14ac:dyDescent="0.25">
      <c r="A118">
        <v>4</v>
      </c>
      <c r="B118">
        <v>384743</v>
      </c>
      <c r="C118" t="s">
        <v>2</v>
      </c>
      <c r="D118">
        <v>2821</v>
      </c>
      <c r="E118" s="1">
        <v>43800</v>
      </c>
      <c r="F118">
        <v>11284</v>
      </c>
      <c r="G118">
        <v>4231.5</v>
      </c>
      <c r="H118">
        <f t="shared" si="4"/>
        <v>4</v>
      </c>
      <c r="I118">
        <f t="shared" si="5"/>
        <v>1.5</v>
      </c>
      <c r="J118" s="35">
        <f t="shared" si="6"/>
        <v>2.5</v>
      </c>
      <c r="K118">
        <f t="shared" si="7"/>
        <v>7052.5</v>
      </c>
    </row>
    <row r="119" spans="1:11" x14ac:dyDescent="0.25">
      <c r="A119">
        <v>2</v>
      </c>
      <c r="B119">
        <v>327555</v>
      </c>
      <c r="C119" t="s">
        <v>2</v>
      </c>
      <c r="D119">
        <v>2811</v>
      </c>
      <c r="E119" s="1">
        <v>44013</v>
      </c>
      <c r="F119">
        <v>11244</v>
      </c>
      <c r="G119">
        <v>4216.5</v>
      </c>
      <c r="H119">
        <f t="shared" si="4"/>
        <v>4</v>
      </c>
      <c r="I119">
        <f t="shared" si="5"/>
        <v>1.5</v>
      </c>
      <c r="J119" s="35">
        <f t="shared" si="6"/>
        <v>2.5</v>
      </c>
      <c r="K119">
        <f t="shared" si="7"/>
        <v>7027.5</v>
      </c>
    </row>
    <row r="120" spans="1:11" x14ac:dyDescent="0.25">
      <c r="A120">
        <v>3</v>
      </c>
      <c r="B120">
        <v>761022</v>
      </c>
      <c r="C120" t="s">
        <v>4</v>
      </c>
      <c r="D120">
        <v>2240</v>
      </c>
      <c r="E120" s="1">
        <v>43862</v>
      </c>
      <c r="F120">
        <v>11200</v>
      </c>
      <c r="G120">
        <v>4928</v>
      </c>
      <c r="H120">
        <f t="shared" si="4"/>
        <v>5</v>
      </c>
      <c r="I120">
        <f t="shared" si="5"/>
        <v>2.2000000000000002</v>
      </c>
      <c r="J120" s="35">
        <f t="shared" si="6"/>
        <v>2.8</v>
      </c>
      <c r="K120">
        <f t="shared" si="7"/>
        <v>6272</v>
      </c>
    </row>
    <row r="121" spans="1:11" x14ac:dyDescent="0.25">
      <c r="A121">
        <v>2</v>
      </c>
      <c r="B121">
        <v>812448</v>
      </c>
      <c r="C121" t="s">
        <v>2</v>
      </c>
      <c r="D121">
        <v>2791</v>
      </c>
      <c r="E121" s="1">
        <v>44136</v>
      </c>
      <c r="F121">
        <v>11164</v>
      </c>
      <c r="G121">
        <v>4186.5</v>
      </c>
      <c r="H121">
        <f t="shared" si="4"/>
        <v>4</v>
      </c>
      <c r="I121">
        <f t="shared" si="5"/>
        <v>1.5</v>
      </c>
      <c r="J121" s="35">
        <f t="shared" si="6"/>
        <v>2.5</v>
      </c>
      <c r="K121">
        <f t="shared" si="7"/>
        <v>6977.5</v>
      </c>
    </row>
    <row r="122" spans="1:11" x14ac:dyDescent="0.25">
      <c r="A122">
        <v>4</v>
      </c>
      <c r="B122">
        <v>754823</v>
      </c>
      <c r="C122" t="s">
        <v>3</v>
      </c>
      <c r="D122">
        <v>2222</v>
      </c>
      <c r="E122" s="1">
        <v>43770</v>
      </c>
      <c r="F122">
        <v>11110</v>
      </c>
      <c r="G122">
        <v>4444</v>
      </c>
      <c r="H122">
        <f t="shared" si="4"/>
        <v>5</v>
      </c>
      <c r="I122">
        <f t="shared" si="5"/>
        <v>2</v>
      </c>
      <c r="J122" s="35">
        <f t="shared" si="6"/>
        <v>3</v>
      </c>
      <c r="K122">
        <f t="shared" si="7"/>
        <v>6666</v>
      </c>
    </row>
    <row r="123" spans="1:11" x14ac:dyDescent="0.25">
      <c r="A123">
        <v>4</v>
      </c>
      <c r="B123">
        <v>858434</v>
      </c>
      <c r="C123" t="s">
        <v>2</v>
      </c>
      <c r="D123">
        <v>2767</v>
      </c>
      <c r="E123" s="1">
        <v>44044</v>
      </c>
      <c r="F123">
        <v>11068</v>
      </c>
      <c r="G123">
        <v>4150.5</v>
      </c>
      <c r="H123">
        <f t="shared" si="4"/>
        <v>4</v>
      </c>
      <c r="I123">
        <f t="shared" si="5"/>
        <v>1.5</v>
      </c>
      <c r="J123" s="35">
        <f t="shared" si="6"/>
        <v>2.5</v>
      </c>
      <c r="K123">
        <f t="shared" si="7"/>
        <v>6917.5</v>
      </c>
    </row>
    <row r="124" spans="1:11" x14ac:dyDescent="0.25">
      <c r="A124">
        <v>3</v>
      </c>
      <c r="B124">
        <v>698245</v>
      </c>
      <c r="C124" t="s">
        <v>3</v>
      </c>
      <c r="D124">
        <v>2198</v>
      </c>
      <c r="E124" s="1">
        <v>44044</v>
      </c>
      <c r="F124">
        <v>10990</v>
      </c>
      <c r="G124">
        <v>4396</v>
      </c>
      <c r="H124">
        <f t="shared" si="4"/>
        <v>5</v>
      </c>
      <c r="I124">
        <f t="shared" si="5"/>
        <v>2</v>
      </c>
      <c r="J124" s="35">
        <f t="shared" si="6"/>
        <v>3</v>
      </c>
      <c r="K124">
        <f t="shared" si="7"/>
        <v>6594</v>
      </c>
    </row>
    <row r="125" spans="1:11" x14ac:dyDescent="0.25">
      <c r="A125">
        <v>2</v>
      </c>
      <c r="B125">
        <v>356550</v>
      </c>
      <c r="C125" t="s">
        <v>5</v>
      </c>
      <c r="D125">
        <v>1808</v>
      </c>
      <c r="E125" s="1">
        <v>44136</v>
      </c>
      <c r="F125">
        <v>10848</v>
      </c>
      <c r="G125">
        <v>4972</v>
      </c>
      <c r="H125">
        <f t="shared" si="4"/>
        <v>6</v>
      </c>
      <c r="I125">
        <f t="shared" si="5"/>
        <v>2.75</v>
      </c>
      <c r="J125" s="35">
        <f t="shared" si="6"/>
        <v>3.25</v>
      </c>
      <c r="K125">
        <f t="shared" si="7"/>
        <v>5876</v>
      </c>
    </row>
    <row r="126" spans="1:11" x14ac:dyDescent="0.25">
      <c r="A126">
        <v>3</v>
      </c>
      <c r="B126">
        <v>712767</v>
      </c>
      <c r="C126" t="s">
        <v>3</v>
      </c>
      <c r="D126">
        <v>2167</v>
      </c>
      <c r="E126" s="1">
        <v>43739</v>
      </c>
      <c r="F126">
        <v>10835</v>
      </c>
      <c r="G126">
        <v>4334</v>
      </c>
      <c r="H126">
        <f t="shared" si="4"/>
        <v>5</v>
      </c>
      <c r="I126">
        <f t="shared" si="5"/>
        <v>2</v>
      </c>
      <c r="J126" s="35">
        <f t="shared" si="6"/>
        <v>3</v>
      </c>
      <c r="K126">
        <f t="shared" si="7"/>
        <v>6501</v>
      </c>
    </row>
    <row r="127" spans="1:11" x14ac:dyDescent="0.25">
      <c r="A127">
        <v>4</v>
      </c>
      <c r="B127">
        <v>775360</v>
      </c>
      <c r="C127" t="s">
        <v>5</v>
      </c>
      <c r="D127">
        <v>1804</v>
      </c>
      <c r="E127" s="1">
        <v>43862</v>
      </c>
      <c r="F127">
        <v>10824</v>
      </c>
      <c r="G127">
        <v>4961</v>
      </c>
      <c r="H127">
        <f t="shared" si="4"/>
        <v>6</v>
      </c>
      <c r="I127">
        <f t="shared" si="5"/>
        <v>2.75</v>
      </c>
      <c r="J127" s="35">
        <f t="shared" si="6"/>
        <v>3.25</v>
      </c>
      <c r="K127">
        <f t="shared" si="7"/>
        <v>5863</v>
      </c>
    </row>
    <row r="128" spans="1:11" x14ac:dyDescent="0.25">
      <c r="A128">
        <v>5</v>
      </c>
      <c r="B128">
        <v>535522</v>
      </c>
      <c r="C128" t="s">
        <v>2</v>
      </c>
      <c r="D128">
        <v>2706</v>
      </c>
      <c r="E128" s="1">
        <v>43770</v>
      </c>
      <c r="F128">
        <v>10824</v>
      </c>
      <c r="G128">
        <v>4059</v>
      </c>
      <c r="H128">
        <f t="shared" si="4"/>
        <v>4</v>
      </c>
      <c r="I128">
        <f t="shared" si="5"/>
        <v>1.5</v>
      </c>
      <c r="J128" s="35">
        <f t="shared" si="6"/>
        <v>2.5</v>
      </c>
      <c r="K128">
        <f t="shared" si="7"/>
        <v>6765</v>
      </c>
    </row>
    <row r="129" spans="1:11" x14ac:dyDescent="0.25">
      <c r="A129">
        <v>5</v>
      </c>
      <c r="B129">
        <v>441751</v>
      </c>
      <c r="C129" t="s">
        <v>4</v>
      </c>
      <c r="D129">
        <v>2157</v>
      </c>
      <c r="E129" s="1">
        <v>44166</v>
      </c>
      <c r="F129">
        <v>10785</v>
      </c>
      <c r="G129">
        <v>4745.4000000000005</v>
      </c>
      <c r="H129">
        <f t="shared" si="4"/>
        <v>5</v>
      </c>
      <c r="I129">
        <f t="shared" si="5"/>
        <v>2.2000000000000002</v>
      </c>
      <c r="J129" s="35">
        <f t="shared" si="6"/>
        <v>2.8</v>
      </c>
      <c r="K129">
        <f t="shared" si="7"/>
        <v>6039.5999999999995</v>
      </c>
    </row>
    <row r="130" spans="1:11" x14ac:dyDescent="0.25">
      <c r="A130">
        <v>5</v>
      </c>
      <c r="B130">
        <v>714255</v>
      </c>
      <c r="C130" t="s">
        <v>3</v>
      </c>
      <c r="D130">
        <v>2156</v>
      </c>
      <c r="E130" s="1">
        <v>44105</v>
      </c>
      <c r="F130">
        <v>10780</v>
      </c>
      <c r="G130">
        <v>4312</v>
      </c>
      <c r="H130">
        <f t="shared" si="4"/>
        <v>5</v>
      </c>
      <c r="I130">
        <f t="shared" si="5"/>
        <v>2</v>
      </c>
      <c r="J130" s="35">
        <f t="shared" si="6"/>
        <v>3</v>
      </c>
      <c r="K130">
        <f t="shared" si="7"/>
        <v>6468</v>
      </c>
    </row>
    <row r="131" spans="1:11" x14ac:dyDescent="0.25">
      <c r="A131">
        <v>1</v>
      </c>
      <c r="B131">
        <v>481324</v>
      </c>
      <c r="C131" t="s">
        <v>3</v>
      </c>
      <c r="D131">
        <v>2155</v>
      </c>
      <c r="E131" s="1">
        <v>44166</v>
      </c>
      <c r="F131">
        <v>10775</v>
      </c>
      <c r="G131">
        <v>4310</v>
      </c>
      <c r="H131">
        <f t="shared" ref="H131:H194" si="8">F131/D131</f>
        <v>5</v>
      </c>
      <c r="I131">
        <f t="shared" ref="I131:I194" si="9">G131/D131</f>
        <v>2</v>
      </c>
      <c r="J131" s="35">
        <f t="shared" ref="J131:J194" si="10">H131-I131</f>
        <v>3</v>
      </c>
      <c r="K131">
        <f t="shared" ref="K131:K194" si="11">D131*J131</f>
        <v>6465</v>
      </c>
    </row>
    <row r="132" spans="1:11" x14ac:dyDescent="0.25">
      <c r="A132">
        <v>5</v>
      </c>
      <c r="B132">
        <v>529550</v>
      </c>
      <c r="C132" t="s">
        <v>3</v>
      </c>
      <c r="D132">
        <v>2152</v>
      </c>
      <c r="E132" s="1">
        <v>43800</v>
      </c>
      <c r="F132">
        <v>10760</v>
      </c>
      <c r="G132">
        <v>4304</v>
      </c>
      <c r="H132">
        <f t="shared" si="8"/>
        <v>5</v>
      </c>
      <c r="I132">
        <f t="shared" si="9"/>
        <v>2</v>
      </c>
      <c r="J132" s="35">
        <f t="shared" si="10"/>
        <v>3</v>
      </c>
      <c r="K132">
        <f t="shared" si="11"/>
        <v>6456</v>
      </c>
    </row>
    <row r="133" spans="1:11" x14ac:dyDescent="0.25">
      <c r="A133">
        <v>1</v>
      </c>
      <c r="B133">
        <v>483789</v>
      </c>
      <c r="C133" t="s">
        <v>2</v>
      </c>
      <c r="D133">
        <v>2689</v>
      </c>
      <c r="E133" s="1">
        <v>44136</v>
      </c>
      <c r="F133">
        <v>10756</v>
      </c>
      <c r="G133">
        <v>4033.5</v>
      </c>
      <c r="H133">
        <f t="shared" si="8"/>
        <v>4</v>
      </c>
      <c r="I133">
        <f t="shared" si="9"/>
        <v>1.5</v>
      </c>
      <c r="J133" s="35">
        <f t="shared" si="10"/>
        <v>2.5</v>
      </c>
      <c r="K133">
        <f t="shared" si="11"/>
        <v>6722.5</v>
      </c>
    </row>
    <row r="134" spans="1:11" x14ac:dyDescent="0.25">
      <c r="A134">
        <v>3</v>
      </c>
      <c r="B134">
        <v>708450</v>
      </c>
      <c r="C134" t="s">
        <v>3</v>
      </c>
      <c r="D134">
        <v>2151</v>
      </c>
      <c r="E134" s="1">
        <v>43770</v>
      </c>
      <c r="F134">
        <v>10755</v>
      </c>
      <c r="G134">
        <v>4302</v>
      </c>
      <c r="H134">
        <f t="shared" si="8"/>
        <v>5</v>
      </c>
      <c r="I134">
        <f t="shared" si="9"/>
        <v>2</v>
      </c>
      <c r="J134" s="35">
        <f t="shared" si="10"/>
        <v>3</v>
      </c>
      <c r="K134">
        <f t="shared" si="11"/>
        <v>6453</v>
      </c>
    </row>
    <row r="135" spans="1:11" x14ac:dyDescent="0.25">
      <c r="A135">
        <v>2</v>
      </c>
      <c r="B135">
        <v>389356</v>
      </c>
      <c r="C135" t="s">
        <v>3</v>
      </c>
      <c r="D135">
        <v>2150</v>
      </c>
      <c r="E135" s="1">
        <v>44136</v>
      </c>
      <c r="F135">
        <v>10750</v>
      </c>
      <c r="G135">
        <v>4300</v>
      </c>
      <c r="H135">
        <f t="shared" si="8"/>
        <v>5</v>
      </c>
      <c r="I135">
        <f t="shared" si="9"/>
        <v>2</v>
      </c>
      <c r="J135" s="35">
        <f t="shared" si="10"/>
        <v>3</v>
      </c>
      <c r="K135">
        <f t="shared" si="11"/>
        <v>6450</v>
      </c>
    </row>
    <row r="136" spans="1:11" x14ac:dyDescent="0.25">
      <c r="A136">
        <v>3</v>
      </c>
      <c r="B136">
        <v>263663</v>
      </c>
      <c r="C136" t="s">
        <v>3</v>
      </c>
      <c r="D136">
        <v>2146</v>
      </c>
      <c r="E136" s="1">
        <v>43770</v>
      </c>
      <c r="F136">
        <v>10730</v>
      </c>
      <c r="G136">
        <v>4292</v>
      </c>
      <c r="H136">
        <f t="shared" si="8"/>
        <v>5</v>
      </c>
      <c r="I136">
        <f t="shared" si="9"/>
        <v>2</v>
      </c>
      <c r="J136" s="35">
        <f t="shared" si="10"/>
        <v>3</v>
      </c>
      <c r="K136">
        <f t="shared" si="11"/>
        <v>6438</v>
      </c>
    </row>
    <row r="137" spans="1:11" x14ac:dyDescent="0.25">
      <c r="A137">
        <v>3</v>
      </c>
      <c r="B137">
        <v>505159</v>
      </c>
      <c r="C137" t="s">
        <v>3</v>
      </c>
      <c r="D137">
        <v>2145</v>
      </c>
      <c r="E137" s="1">
        <v>43739</v>
      </c>
      <c r="F137">
        <v>10725</v>
      </c>
      <c r="G137">
        <v>4290</v>
      </c>
      <c r="H137">
        <f t="shared" si="8"/>
        <v>5</v>
      </c>
      <c r="I137">
        <f t="shared" si="9"/>
        <v>2</v>
      </c>
      <c r="J137" s="35">
        <f t="shared" si="10"/>
        <v>3</v>
      </c>
      <c r="K137">
        <f t="shared" si="11"/>
        <v>6435</v>
      </c>
    </row>
    <row r="138" spans="1:11" x14ac:dyDescent="0.25">
      <c r="A138">
        <v>2</v>
      </c>
      <c r="B138">
        <v>348619</v>
      </c>
      <c r="C138" t="s">
        <v>4</v>
      </c>
      <c r="D138">
        <v>2141</v>
      </c>
      <c r="E138" s="1">
        <v>44044</v>
      </c>
      <c r="F138">
        <v>10705</v>
      </c>
      <c r="G138">
        <v>4710.2000000000007</v>
      </c>
      <c r="H138">
        <f t="shared" si="8"/>
        <v>5</v>
      </c>
      <c r="I138">
        <f t="shared" si="9"/>
        <v>2.2000000000000002</v>
      </c>
      <c r="J138" s="35">
        <f t="shared" si="10"/>
        <v>2.8</v>
      </c>
      <c r="K138">
        <f t="shared" si="11"/>
        <v>5994.7999999999993</v>
      </c>
    </row>
    <row r="139" spans="1:11" x14ac:dyDescent="0.25">
      <c r="A139">
        <v>5</v>
      </c>
      <c r="B139">
        <v>111799</v>
      </c>
      <c r="C139" t="s">
        <v>2</v>
      </c>
      <c r="D139">
        <v>2671</v>
      </c>
      <c r="E139" s="1">
        <v>44075</v>
      </c>
      <c r="F139">
        <v>10684</v>
      </c>
      <c r="G139">
        <v>4006.5</v>
      </c>
      <c r="H139">
        <f t="shared" si="8"/>
        <v>4</v>
      </c>
      <c r="I139">
        <f t="shared" si="9"/>
        <v>1.5</v>
      </c>
      <c r="J139" s="35">
        <f t="shared" si="10"/>
        <v>2.5</v>
      </c>
      <c r="K139">
        <f t="shared" si="11"/>
        <v>6677.5</v>
      </c>
    </row>
    <row r="140" spans="1:11" x14ac:dyDescent="0.25">
      <c r="A140">
        <v>4</v>
      </c>
      <c r="B140">
        <v>685544</v>
      </c>
      <c r="C140" t="s">
        <v>3</v>
      </c>
      <c r="D140">
        <v>2136</v>
      </c>
      <c r="E140" s="1">
        <v>43800</v>
      </c>
      <c r="F140">
        <v>10680</v>
      </c>
      <c r="G140">
        <v>4272</v>
      </c>
      <c r="H140">
        <f t="shared" si="8"/>
        <v>5</v>
      </c>
      <c r="I140">
        <f t="shared" si="9"/>
        <v>2</v>
      </c>
      <c r="J140" s="35">
        <f t="shared" si="10"/>
        <v>3</v>
      </c>
      <c r="K140">
        <f t="shared" si="11"/>
        <v>6408</v>
      </c>
    </row>
    <row r="141" spans="1:11" x14ac:dyDescent="0.25">
      <c r="A141">
        <v>3</v>
      </c>
      <c r="B141">
        <v>146778</v>
      </c>
      <c r="C141" t="s">
        <v>3</v>
      </c>
      <c r="D141">
        <v>2125</v>
      </c>
      <c r="E141" s="1">
        <v>43800</v>
      </c>
      <c r="F141">
        <v>10625</v>
      </c>
      <c r="G141">
        <v>4250</v>
      </c>
      <c r="H141">
        <f t="shared" si="8"/>
        <v>5</v>
      </c>
      <c r="I141">
        <f t="shared" si="9"/>
        <v>2</v>
      </c>
      <c r="J141" s="35">
        <f t="shared" si="10"/>
        <v>3</v>
      </c>
      <c r="K141">
        <f t="shared" si="11"/>
        <v>6375</v>
      </c>
    </row>
    <row r="142" spans="1:11" x14ac:dyDescent="0.25">
      <c r="A142">
        <v>1</v>
      </c>
      <c r="B142">
        <v>636993</v>
      </c>
      <c r="C142" t="s">
        <v>3</v>
      </c>
      <c r="D142">
        <v>2116</v>
      </c>
      <c r="E142" s="1">
        <v>43800</v>
      </c>
      <c r="F142">
        <v>10580</v>
      </c>
      <c r="G142">
        <v>4232</v>
      </c>
      <c r="H142">
        <f t="shared" si="8"/>
        <v>5</v>
      </c>
      <c r="I142">
        <f t="shared" si="9"/>
        <v>2</v>
      </c>
      <c r="J142" s="35">
        <f t="shared" si="10"/>
        <v>3</v>
      </c>
      <c r="K142">
        <f t="shared" si="11"/>
        <v>6348</v>
      </c>
    </row>
    <row r="143" spans="1:11" x14ac:dyDescent="0.25">
      <c r="A143">
        <v>3</v>
      </c>
      <c r="B143">
        <v>735406</v>
      </c>
      <c r="C143" t="s">
        <v>3</v>
      </c>
      <c r="D143">
        <v>2104.5</v>
      </c>
      <c r="E143" s="1">
        <v>44013</v>
      </c>
      <c r="F143">
        <v>10522.5</v>
      </c>
      <c r="G143">
        <v>4209</v>
      </c>
      <c r="H143">
        <f t="shared" si="8"/>
        <v>5</v>
      </c>
      <c r="I143">
        <f t="shared" si="9"/>
        <v>2</v>
      </c>
      <c r="J143" s="35">
        <f t="shared" si="10"/>
        <v>3</v>
      </c>
      <c r="K143">
        <f t="shared" si="11"/>
        <v>6313.5</v>
      </c>
    </row>
    <row r="144" spans="1:11" x14ac:dyDescent="0.25">
      <c r="A144">
        <v>5</v>
      </c>
      <c r="B144">
        <v>126864</v>
      </c>
      <c r="C144" t="s">
        <v>3</v>
      </c>
      <c r="D144">
        <v>2101</v>
      </c>
      <c r="E144" s="1">
        <v>44044</v>
      </c>
      <c r="F144">
        <v>10505</v>
      </c>
      <c r="G144">
        <v>4202</v>
      </c>
      <c r="H144">
        <f t="shared" si="8"/>
        <v>5</v>
      </c>
      <c r="I144">
        <f t="shared" si="9"/>
        <v>2</v>
      </c>
      <c r="J144" s="35">
        <f t="shared" si="10"/>
        <v>3</v>
      </c>
      <c r="K144">
        <f t="shared" si="11"/>
        <v>6303</v>
      </c>
    </row>
    <row r="145" spans="1:11" x14ac:dyDescent="0.25">
      <c r="A145">
        <v>3</v>
      </c>
      <c r="B145">
        <v>657776</v>
      </c>
      <c r="C145" t="s">
        <v>4</v>
      </c>
      <c r="D145">
        <v>2076</v>
      </c>
      <c r="E145" s="1">
        <v>43739</v>
      </c>
      <c r="F145">
        <v>10380</v>
      </c>
      <c r="G145">
        <v>4567.2000000000007</v>
      </c>
      <c r="H145">
        <f t="shared" si="8"/>
        <v>5</v>
      </c>
      <c r="I145">
        <f t="shared" si="9"/>
        <v>2.2000000000000002</v>
      </c>
      <c r="J145" s="35">
        <f t="shared" si="10"/>
        <v>2.8</v>
      </c>
      <c r="K145">
        <f t="shared" si="11"/>
        <v>5812.7999999999993</v>
      </c>
    </row>
    <row r="146" spans="1:11" x14ac:dyDescent="0.25">
      <c r="A146">
        <v>3</v>
      </c>
      <c r="B146">
        <v>255145</v>
      </c>
      <c r="C146" t="s">
        <v>3</v>
      </c>
      <c r="D146">
        <v>2074</v>
      </c>
      <c r="E146" s="1">
        <v>44075</v>
      </c>
      <c r="F146">
        <v>10370</v>
      </c>
      <c r="G146">
        <v>4148</v>
      </c>
      <c r="H146">
        <f t="shared" si="8"/>
        <v>5</v>
      </c>
      <c r="I146">
        <f t="shared" si="9"/>
        <v>2</v>
      </c>
      <c r="J146" s="35">
        <f t="shared" si="10"/>
        <v>3</v>
      </c>
      <c r="K146">
        <f t="shared" si="11"/>
        <v>6222</v>
      </c>
    </row>
    <row r="147" spans="1:11" x14ac:dyDescent="0.25">
      <c r="A147">
        <v>5</v>
      </c>
      <c r="B147">
        <v>190154</v>
      </c>
      <c r="C147" t="s">
        <v>4</v>
      </c>
      <c r="D147">
        <v>2072</v>
      </c>
      <c r="E147" s="1">
        <v>44166</v>
      </c>
      <c r="F147">
        <v>10360</v>
      </c>
      <c r="G147">
        <v>4558.4000000000005</v>
      </c>
      <c r="H147">
        <f t="shared" si="8"/>
        <v>5</v>
      </c>
      <c r="I147">
        <f t="shared" si="9"/>
        <v>2.2000000000000002</v>
      </c>
      <c r="J147" s="35">
        <f t="shared" si="10"/>
        <v>2.8</v>
      </c>
      <c r="K147">
        <f t="shared" si="11"/>
        <v>5801.5999999999995</v>
      </c>
    </row>
    <row r="148" spans="1:11" x14ac:dyDescent="0.25">
      <c r="A148">
        <v>3</v>
      </c>
      <c r="B148">
        <v>444725</v>
      </c>
      <c r="C148" t="s">
        <v>4</v>
      </c>
      <c r="D148">
        <v>2071</v>
      </c>
      <c r="E148" s="1">
        <v>44075</v>
      </c>
      <c r="F148">
        <v>10355</v>
      </c>
      <c r="G148">
        <v>4556.2000000000007</v>
      </c>
      <c r="H148">
        <f t="shared" si="8"/>
        <v>5</v>
      </c>
      <c r="I148">
        <f t="shared" si="9"/>
        <v>2.2000000000000002</v>
      </c>
      <c r="J148" s="35">
        <f t="shared" si="10"/>
        <v>2.8</v>
      </c>
      <c r="K148">
        <f t="shared" si="11"/>
        <v>5798.7999999999993</v>
      </c>
    </row>
    <row r="149" spans="1:11" x14ac:dyDescent="0.25">
      <c r="A149">
        <v>1</v>
      </c>
      <c r="B149">
        <v>732442</v>
      </c>
      <c r="C149" t="s">
        <v>2</v>
      </c>
      <c r="D149">
        <v>2580</v>
      </c>
      <c r="E149" s="1">
        <v>43922</v>
      </c>
      <c r="F149">
        <v>10320</v>
      </c>
      <c r="G149">
        <v>3870</v>
      </c>
      <c r="H149">
        <f t="shared" si="8"/>
        <v>4</v>
      </c>
      <c r="I149">
        <f t="shared" si="9"/>
        <v>1.5</v>
      </c>
      <c r="J149" s="35">
        <f t="shared" si="10"/>
        <v>2.5</v>
      </c>
      <c r="K149">
        <f t="shared" si="11"/>
        <v>6450</v>
      </c>
    </row>
    <row r="150" spans="1:11" x14ac:dyDescent="0.25">
      <c r="A150">
        <v>4</v>
      </c>
      <c r="B150">
        <v>455417</v>
      </c>
      <c r="C150" t="s">
        <v>2</v>
      </c>
      <c r="D150">
        <v>2579</v>
      </c>
      <c r="E150" s="1">
        <v>43922</v>
      </c>
      <c r="F150">
        <v>10316</v>
      </c>
      <c r="G150">
        <v>3868.5</v>
      </c>
      <c r="H150">
        <f t="shared" si="8"/>
        <v>4</v>
      </c>
      <c r="I150">
        <f t="shared" si="9"/>
        <v>1.5</v>
      </c>
      <c r="J150" s="35">
        <f t="shared" si="10"/>
        <v>2.5</v>
      </c>
      <c r="K150">
        <f t="shared" si="11"/>
        <v>6447.5</v>
      </c>
    </row>
    <row r="151" spans="1:11" x14ac:dyDescent="0.25">
      <c r="A151">
        <v>5</v>
      </c>
      <c r="B151">
        <v>759173</v>
      </c>
      <c r="C151" t="s">
        <v>2</v>
      </c>
      <c r="D151">
        <v>2567</v>
      </c>
      <c r="E151" s="1">
        <v>43983</v>
      </c>
      <c r="F151">
        <v>10268</v>
      </c>
      <c r="G151">
        <v>3850.5</v>
      </c>
      <c r="H151">
        <f t="shared" si="8"/>
        <v>4</v>
      </c>
      <c r="I151">
        <f t="shared" si="9"/>
        <v>1.5</v>
      </c>
      <c r="J151" s="35">
        <f t="shared" si="10"/>
        <v>2.5</v>
      </c>
      <c r="K151">
        <f t="shared" si="11"/>
        <v>6417.5</v>
      </c>
    </row>
    <row r="152" spans="1:11" x14ac:dyDescent="0.25">
      <c r="A152">
        <v>4</v>
      </c>
      <c r="B152">
        <v>120233</v>
      </c>
      <c r="C152" t="s">
        <v>4</v>
      </c>
      <c r="D152">
        <v>2039</v>
      </c>
      <c r="E152" s="1">
        <v>43952</v>
      </c>
      <c r="F152">
        <v>10195</v>
      </c>
      <c r="G152">
        <v>4485.8</v>
      </c>
      <c r="H152">
        <f t="shared" si="8"/>
        <v>5</v>
      </c>
      <c r="I152">
        <f t="shared" si="9"/>
        <v>2.2000000000000002</v>
      </c>
      <c r="J152" s="35">
        <f t="shared" si="10"/>
        <v>2.8</v>
      </c>
      <c r="K152">
        <f t="shared" si="11"/>
        <v>5709.2</v>
      </c>
    </row>
    <row r="153" spans="1:11" x14ac:dyDescent="0.25">
      <c r="A153">
        <v>4</v>
      </c>
      <c r="B153">
        <v>872825</v>
      </c>
      <c r="C153" t="s">
        <v>3</v>
      </c>
      <c r="D153">
        <v>2031</v>
      </c>
      <c r="E153" s="1">
        <v>44105</v>
      </c>
      <c r="F153">
        <v>10155</v>
      </c>
      <c r="G153">
        <v>4062</v>
      </c>
      <c r="H153">
        <f t="shared" si="8"/>
        <v>5</v>
      </c>
      <c r="I153">
        <f t="shared" si="9"/>
        <v>2</v>
      </c>
      <c r="J153" s="35">
        <f t="shared" si="10"/>
        <v>3</v>
      </c>
      <c r="K153">
        <f t="shared" si="11"/>
        <v>6093</v>
      </c>
    </row>
    <row r="154" spans="1:11" x14ac:dyDescent="0.25">
      <c r="A154">
        <v>5</v>
      </c>
      <c r="B154">
        <v>406431</v>
      </c>
      <c r="C154" t="s">
        <v>2</v>
      </c>
      <c r="D154">
        <v>2529</v>
      </c>
      <c r="E154" s="1">
        <v>44013</v>
      </c>
      <c r="F154">
        <v>10116</v>
      </c>
      <c r="G154">
        <v>3793.5</v>
      </c>
      <c r="H154">
        <f t="shared" si="8"/>
        <v>4</v>
      </c>
      <c r="I154">
        <f t="shared" si="9"/>
        <v>1.5</v>
      </c>
      <c r="J154" s="35">
        <f t="shared" si="10"/>
        <v>2.5</v>
      </c>
      <c r="K154">
        <f t="shared" si="11"/>
        <v>6322.5</v>
      </c>
    </row>
    <row r="155" spans="1:11" x14ac:dyDescent="0.25">
      <c r="A155">
        <v>3</v>
      </c>
      <c r="B155">
        <v>728960</v>
      </c>
      <c r="C155" t="s">
        <v>2</v>
      </c>
      <c r="D155">
        <v>2521.5</v>
      </c>
      <c r="E155" s="1">
        <v>43831</v>
      </c>
      <c r="F155">
        <v>10086</v>
      </c>
      <c r="G155">
        <v>3782.25</v>
      </c>
      <c r="H155">
        <f t="shared" si="8"/>
        <v>4</v>
      </c>
      <c r="I155">
        <f t="shared" si="9"/>
        <v>1.5</v>
      </c>
      <c r="J155" s="35">
        <f t="shared" si="10"/>
        <v>2.5</v>
      </c>
      <c r="K155">
        <f t="shared" si="11"/>
        <v>6303.75</v>
      </c>
    </row>
    <row r="156" spans="1:11" x14ac:dyDescent="0.25">
      <c r="A156">
        <v>1</v>
      </c>
      <c r="B156">
        <v>208984</v>
      </c>
      <c r="C156" t="s">
        <v>4</v>
      </c>
      <c r="D156">
        <v>2015</v>
      </c>
      <c r="E156" s="1">
        <v>43800</v>
      </c>
      <c r="F156">
        <v>10075</v>
      </c>
      <c r="G156">
        <v>4433</v>
      </c>
      <c r="H156">
        <f t="shared" si="8"/>
        <v>5</v>
      </c>
      <c r="I156">
        <f t="shared" si="9"/>
        <v>2.2000000000000002</v>
      </c>
      <c r="J156" s="35">
        <f t="shared" si="10"/>
        <v>2.8</v>
      </c>
      <c r="K156">
        <f t="shared" si="11"/>
        <v>5642</v>
      </c>
    </row>
    <row r="157" spans="1:11" x14ac:dyDescent="0.25">
      <c r="A157">
        <v>1</v>
      </c>
      <c r="B157">
        <v>780708</v>
      </c>
      <c r="C157" t="s">
        <v>3</v>
      </c>
      <c r="D157">
        <v>2013</v>
      </c>
      <c r="E157" s="1">
        <v>43800</v>
      </c>
      <c r="F157">
        <v>10065</v>
      </c>
      <c r="G157">
        <v>4026</v>
      </c>
      <c r="H157">
        <f t="shared" si="8"/>
        <v>5</v>
      </c>
      <c r="I157">
        <f t="shared" si="9"/>
        <v>2</v>
      </c>
      <c r="J157" s="35">
        <f t="shared" si="10"/>
        <v>3</v>
      </c>
      <c r="K157">
        <f t="shared" si="11"/>
        <v>6039</v>
      </c>
    </row>
    <row r="158" spans="1:11" x14ac:dyDescent="0.25">
      <c r="A158">
        <v>2</v>
      </c>
      <c r="B158">
        <v>164895</v>
      </c>
      <c r="C158" t="s">
        <v>3</v>
      </c>
      <c r="D158">
        <v>2009</v>
      </c>
      <c r="E158" s="1">
        <v>44105</v>
      </c>
      <c r="F158">
        <v>10045</v>
      </c>
      <c r="G158">
        <v>4018</v>
      </c>
      <c r="H158">
        <f t="shared" si="8"/>
        <v>5</v>
      </c>
      <c r="I158">
        <f t="shared" si="9"/>
        <v>2</v>
      </c>
      <c r="J158" s="35">
        <f t="shared" si="10"/>
        <v>3</v>
      </c>
      <c r="K158">
        <f t="shared" si="11"/>
        <v>6027</v>
      </c>
    </row>
    <row r="159" spans="1:11" x14ac:dyDescent="0.25">
      <c r="A159">
        <v>5</v>
      </c>
      <c r="B159">
        <v>117162</v>
      </c>
      <c r="C159" t="s">
        <v>3</v>
      </c>
      <c r="D159">
        <v>2007</v>
      </c>
      <c r="E159" s="1">
        <v>43770</v>
      </c>
      <c r="F159">
        <v>10035</v>
      </c>
      <c r="G159">
        <v>4014</v>
      </c>
      <c r="H159">
        <f t="shared" si="8"/>
        <v>5</v>
      </c>
      <c r="I159">
        <f t="shared" si="9"/>
        <v>2</v>
      </c>
      <c r="J159" s="35">
        <f t="shared" si="10"/>
        <v>3</v>
      </c>
      <c r="K159">
        <f t="shared" si="11"/>
        <v>6021</v>
      </c>
    </row>
    <row r="160" spans="1:11" x14ac:dyDescent="0.25">
      <c r="A160">
        <v>1</v>
      </c>
      <c r="B160">
        <v>614031</v>
      </c>
      <c r="C160" t="s">
        <v>5</v>
      </c>
      <c r="D160">
        <v>1659</v>
      </c>
      <c r="E160" s="1">
        <v>44013</v>
      </c>
      <c r="F160">
        <v>9954</v>
      </c>
      <c r="G160">
        <v>4562.25</v>
      </c>
      <c r="H160">
        <f t="shared" si="8"/>
        <v>6</v>
      </c>
      <c r="I160">
        <f t="shared" si="9"/>
        <v>2.75</v>
      </c>
      <c r="J160" s="35">
        <f t="shared" si="10"/>
        <v>3.25</v>
      </c>
      <c r="K160">
        <f t="shared" si="11"/>
        <v>5391.75</v>
      </c>
    </row>
    <row r="161" spans="1:11" x14ac:dyDescent="0.25">
      <c r="A161">
        <v>2</v>
      </c>
      <c r="B161">
        <v>348955</v>
      </c>
      <c r="C161" t="s">
        <v>2</v>
      </c>
      <c r="D161">
        <v>2487</v>
      </c>
      <c r="E161" s="1">
        <v>44166</v>
      </c>
      <c r="F161">
        <v>9948</v>
      </c>
      <c r="G161">
        <v>3730.5</v>
      </c>
      <c r="H161">
        <f t="shared" si="8"/>
        <v>4</v>
      </c>
      <c r="I161">
        <f t="shared" si="9"/>
        <v>1.5</v>
      </c>
      <c r="J161" s="35">
        <f t="shared" si="10"/>
        <v>2.5</v>
      </c>
      <c r="K161">
        <f t="shared" si="11"/>
        <v>6217.5</v>
      </c>
    </row>
    <row r="162" spans="1:11" x14ac:dyDescent="0.25">
      <c r="A162">
        <v>4</v>
      </c>
      <c r="B162">
        <v>304546</v>
      </c>
      <c r="C162" t="s">
        <v>4</v>
      </c>
      <c r="D162">
        <v>1989</v>
      </c>
      <c r="E162" s="1">
        <v>43709</v>
      </c>
      <c r="F162">
        <v>9945</v>
      </c>
      <c r="G162">
        <v>4375.8</v>
      </c>
      <c r="H162">
        <f t="shared" si="8"/>
        <v>5</v>
      </c>
      <c r="I162">
        <f t="shared" si="9"/>
        <v>2.2000000000000002</v>
      </c>
      <c r="J162" s="35">
        <f t="shared" si="10"/>
        <v>2.8</v>
      </c>
      <c r="K162">
        <f t="shared" si="11"/>
        <v>5569.2</v>
      </c>
    </row>
    <row r="163" spans="1:11" x14ac:dyDescent="0.25">
      <c r="A163">
        <v>4</v>
      </c>
      <c r="B163">
        <v>131249</v>
      </c>
      <c r="C163" t="s">
        <v>4</v>
      </c>
      <c r="D163">
        <v>1987.5</v>
      </c>
      <c r="E163" s="1">
        <v>43831</v>
      </c>
      <c r="F163">
        <v>9937.5</v>
      </c>
      <c r="G163">
        <v>4372.5</v>
      </c>
      <c r="H163">
        <f t="shared" si="8"/>
        <v>5</v>
      </c>
      <c r="I163">
        <f t="shared" si="9"/>
        <v>2.2000000000000002</v>
      </c>
      <c r="J163" s="35">
        <f t="shared" si="10"/>
        <v>2.8</v>
      </c>
      <c r="K163">
        <f t="shared" si="11"/>
        <v>5565</v>
      </c>
    </row>
    <row r="164" spans="1:11" x14ac:dyDescent="0.25">
      <c r="A164">
        <v>3</v>
      </c>
      <c r="B164">
        <v>159484</v>
      </c>
      <c r="C164" t="s">
        <v>3</v>
      </c>
      <c r="D164">
        <v>1984</v>
      </c>
      <c r="E164" s="1">
        <v>44044</v>
      </c>
      <c r="F164">
        <v>9920</v>
      </c>
      <c r="G164">
        <v>3968</v>
      </c>
      <c r="H164">
        <f t="shared" si="8"/>
        <v>5</v>
      </c>
      <c r="I164">
        <f t="shared" si="9"/>
        <v>2</v>
      </c>
      <c r="J164" s="35">
        <f t="shared" si="10"/>
        <v>3</v>
      </c>
      <c r="K164">
        <f t="shared" si="11"/>
        <v>5952</v>
      </c>
    </row>
    <row r="165" spans="1:11" x14ac:dyDescent="0.25">
      <c r="A165">
        <v>1</v>
      </c>
      <c r="B165">
        <v>293680</v>
      </c>
      <c r="C165" t="s">
        <v>2</v>
      </c>
      <c r="D165">
        <v>2470</v>
      </c>
      <c r="E165" s="1">
        <v>43983</v>
      </c>
      <c r="F165">
        <v>9880</v>
      </c>
      <c r="G165">
        <v>3705</v>
      </c>
      <c r="H165">
        <f t="shared" si="8"/>
        <v>4</v>
      </c>
      <c r="I165">
        <f t="shared" si="9"/>
        <v>1.5</v>
      </c>
      <c r="J165" s="35">
        <f t="shared" si="10"/>
        <v>2.5</v>
      </c>
      <c r="K165">
        <f t="shared" si="11"/>
        <v>6175</v>
      </c>
    </row>
    <row r="166" spans="1:11" x14ac:dyDescent="0.25">
      <c r="A166">
        <v>5</v>
      </c>
      <c r="B166">
        <v>761356</v>
      </c>
      <c r="C166" t="s">
        <v>3</v>
      </c>
      <c r="D166">
        <v>1954</v>
      </c>
      <c r="E166" s="1">
        <v>43891</v>
      </c>
      <c r="F166">
        <v>9770</v>
      </c>
      <c r="G166">
        <v>3908</v>
      </c>
      <c r="H166">
        <f t="shared" si="8"/>
        <v>5</v>
      </c>
      <c r="I166">
        <f t="shared" si="9"/>
        <v>2</v>
      </c>
      <c r="J166" s="35">
        <f t="shared" si="10"/>
        <v>3</v>
      </c>
      <c r="K166">
        <f t="shared" si="11"/>
        <v>5862</v>
      </c>
    </row>
    <row r="167" spans="1:11" x14ac:dyDescent="0.25">
      <c r="A167">
        <v>3</v>
      </c>
      <c r="B167">
        <v>731074</v>
      </c>
      <c r="C167" t="s">
        <v>4</v>
      </c>
      <c r="D167">
        <v>1953</v>
      </c>
      <c r="E167" s="1">
        <v>43922</v>
      </c>
      <c r="F167">
        <v>9765</v>
      </c>
      <c r="G167">
        <v>4296.6000000000004</v>
      </c>
      <c r="H167">
        <f t="shared" si="8"/>
        <v>5</v>
      </c>
      <c r="I167">
        <f t="shared" si="9"/>
        <v>2.2000000000000002</v>
      </c>
      <c r="J167" s="35">
        <f t="shared" si="10"/>
        <v>2.8</v>
      </c>
      <c r="K167">
        <f t="shared" si="11"/>
        <v>5468.4</v>
      </c>
    </row>
    <row r="168" spans="1:11" x14ac:dyDescent="0.25">
      <c r="A168">
        <v>5</v>
      </c>
      <c r="B168">
        <v>363487</v>
      </c>
      <c r="C168" t="s">
        <v>2</v>
      </c>
      <c r="D168">
        <v>2441</v>
      </c>
      <c r="E168" s="1">
        <v>44105</v>
      </c>
      <c r="F168">
        <v>9764</v>
      </c>
      <c r="G168">
        <v>3661.5</v>
      </c>
      <c r="H168">
        <f t="shared" si="8"/>
        <v>4</v>
      </c>
      <c r="I168">
        <f t="shared" si="9"/>
        <v>1.5</v>
      </c>
      <c r="J168" s="35">
        <f t="shared" si="10"/>
        <v>2.5</v>
      </c>
      <c r="K168">
        <f t="shared" si="11"/>
        <v>6102.5</v>
      </c>
    </row>
    <row r="169" spans="1:11" x14ac:dyDescent="0.25">
      <c r="A169">
        <v>5</v>
      </c>
      <c r="B169">
        <v>617395</v>
      </c>
      <c r="C169" t="s">
        <v>1</v>
      </c>
      <c r="D169">
        <v>3244.5</v>
      </c>
      <c r="E169" s="1">
        <v>43831</v>
      </c>
      <c r="F169">
        <v>9733.5</v>
      </c>
      <c r="G169">
        <v>4055.625</v>
      </c>
      <c r="H169">
        <f t="shared" si="8"/>
        <v>3</v>
      </c>
      <c r="I169">
        <f t="shared" si="9"/>
        <v>1.25</v>
      </c>
      <c r="J169" s="35">
        <f t="shared" si="10"/>
        <v>1.75</v>
      </c>
      <c r="K169">
        <f t="shared" si="11"/>
        <v>5677.875</v>
      </c>
    </row>
    <row r="170" spans="1:11" x14ac:dyDescent="0.25">
      <c r="A170">
        <v>3</v>
      </c>
      <c r="B170">
        <v>887888</v>
      </c>
      <c r="C170" t="s">
        <v>3</v>
      </c>
      <c r="D170">
        <v>1946</v>
      </c>
      <c r="E170" s="1">
        <v>43800</v>
      </c>
      <c r="F170">
        <v>9730</v>
      </c>
      <c r="G170">
        <v>3892</v>
      </c>
      <c r="H170">
        <f t="shared" si="8"/>
        <v>5</v>
      </c>
      <c r="I170">
        <f t="shared" si="9"/>
        <v>2</v>
      </c>
      <c r="J170" s="35">
        <f t="shared" si="10"/>
        <v>3</v>
      </c>
      <c r="K170">
        <f t="shared" si="11"/>
        <v>5838</v>
      </c>
    </row>
    <row r="171" spans="1:11" x14ac:dyDescent="0.25">
      <c r="A171">
        <v>1</v>
      </c>
      <c r="B171">
        <v>675075</v>
      </c>
      <c r="C171" t="s">
        <v>3</v>
      </c>
      <c r="D171">
        <v>1945</v>
      </c>
      <c r="E171" s="1">
        <v>43739</v>
      </c>
      <c r="F171">
        <v>9725</v>
      </c>
      <c r="G171">
        <v>3890</v>
      </c>
      <c r="H171">
        <f t="shared" si="8"/>
        <v>5</v>
      </c>
      <c r="I171">
        <f t="shared" si="9"/>
        <v>2</v>
      </c>
      <c r="J171" s="35">
        <f t="shared" si="10"/>
        <v>3</v>
      </c>
      <c r="K171">
        <f t="shared" si="11"/>
        <v>5835</v>
      </c>
    </row>
    <row r="172" spans="1:11" x14ac:dyDescent="0.25">
      <c r="A172">
        <v>3</v>
      </c>
      <c r="B172">
        <v>100553</v>
      </c>
      <c r="C172" t="s">
        <v>3</v>
      </c>
      <c r="D172">
        <v>1934</v>
      </c>
      <c r="E172" s="1">
        <v>44075</v>
      </c>
      <c r="F172">
        <v>9670</v>
      </c>
      <c r="G172">
        <v>3868</v>
      </c>
      <c r="H172">
        <f t="shared" si="8"/>
        <v>5</v>
      </c>
      <c r="I172">
        <f t="shared" si="9"/>
        <v>2</v>
      </c>
      <c r="J172" s="35">
        <f t="shared" si="10"/>
        <v>3</v>
      </c>
      <c r="K172">
        <f t="shared" si="11"/>
        <v>5802</v>
      </c>
    </row>
    <row r="173" spans="1:11" x14ac:dyDescent="0.25">
      <c r="A173">
        <v>3</v>
      </c>
      <c r="B173">
        <v>105566</v>
      </c>
      <c r="C173" t="s">
        <v>2</v>
      </c>
      <c r="D173">
        <v>2416</v>
      </c>
      <c r="E173" s="1">
        <v>43709</v>
      </c>
      <c r="F173">
        <v>9664</v>
      </c>
      <c r="G173">
        <v>3624</v>
      </c>
      <c r="H173">
        <f t="shared" si="8"/>
        <v>4</v>
      </c>
      <c r="I173">
        <f t="shared" si="9"/>
        <v>1.5</v>
      </c>
      <c r="J173" s="35">
        <f t="shared" si="10"/>
        <v>2.5</v>
      </c>
      <c r="K173">
        <f t="shared" si="11"/>
        <v>6040</v>
      </c>
    </row>
    <row r="174" spans="1:11" x14ac:dyDescent="0.25">
      <c r="A174">
        <v>5</v>
      </c>
      <c r="B174">
        <v>793514</v>
      </c>
      <c r="C174" t="s">
        <v>3</v>
      </c>
      <c r="D174">
        <v>1925</v>
      </c>
      <c r="E174" s="1">
        <v>43800</v>
      </c>
      <c r="F174">
        <v>9625</v>
      </c>
      <c r="G174">
        <v>3850</v>
      </c>
      <c r="H174">
        <f t="shared" si="8"/>
        <v>5</v>
      </c>
      <c r="I174">
        <f t="shared" si="9"/>
        <v>2</v>
      </c>
      <c r="J174" s="35">
        <f t="shared" si="10"/>
        <v>3</v>
      </c>
      <c r="K174">
        <f t="shared" si="11"/>
        <v>5775</v>
      </c>
    </row>
    <row r="175" spans="1:11" x14ac:dyDescent="0.25">
      <c r="A175">
        <v>5</v>
      </c>
      <c r="B175">
        <v>364025</v>
      </c>
      <c r="C175" t="s">
        <v>3</v>
      </c>
      <c r="D175">
        <v>1922</v>
      </c>
      <c r="E175" s="1">
        <v>43770</v>
      </c>
      <c r="F175">
        <v>9610</v>
      </c>
      <c r="G175">
        <v>3844</v>
      </c>
      <c r="H175">
        <f t="shared" si="8"/>
        <v>5</v>
      </c>
      <c r="I175">
        <f t="shared" si="9"/>
        <v>2</v>
      </c>
      <c r="J175" s="35">
        <f t="shared" si="10"/>
        <v>3</v>
      </c>
      <c r="K175">
        <f t="shared" si="11"/>
        <v>5766</v>
      </c>
    </row>
    <row r="176" spans="1:11" x14ac:dyDescent="0.25">
      <c r="A176">
        <v>3</v>
      </c>
      <c r="B176">
        <v>580583</v>
      </c>
      <c r="C176" t="s">
        <v>4</v>
      </c>
      <c r="D176">
        <v>1916</v>
      </c>
      <c r="E176" s="1">
        <v>44166</v>
      </c>
      <c r="F176">
        <v>9580</v>
      </c>
      <c r="G176">
        <v>4215.2000000000007</v>
      </c>
      <c r="H176">
        <f t="shared" si="8"/>
        <v>5</v>
      </c>
      <c r="I176">
        <f t="shared" si="9"/>
        <v>2.2000000000000002</v>
      </c>
      <c r="J176" s="35">
        <f t="shared" si="10"/>
        <v>2.8</v>
      </c>
      <c r="K176">
        <f t="shared" si="11"/>
        <v>5364.7999999999993</v>
      </c>
    </row>
    <row r="177" spans="1:11" x14ac:dyDescent="0.25">
      <c r="A177">
        <v>5</v>
      </c>
      <c r="B177">
        <v>778039</v>
      </c>
      <c r="C177" t="s">
        <v>3</v>
      </c>
      <c r="D177">
        <v>1916</v>
      </c>
      <c r="E177" s="1">
        <v>44166</v>
      </c>
      <c r="F177">
        <v>9580</v>
      </c>
      <c r="G177">
        <v>3832</v>
      </c>
      <c r="H177">
        <f t="shared" si="8"/>
        <v>5</v>
      </c>
      <c r="I177">
        <f t="shared" si="9"/>
        <v>2</v>
      </c>
      <c r="J177" s="35">
        <f t="shared" si="10"/>
        <v>3</v>
      </c>
      <c r="K177">
        <f t="shared" si="11"/>
        <v>5748</v>
      </c>
    </row>
    <row r="178" spans="1:11" x14ac:dyDescent="0.25">
      <c r="A178">
        <v>3</v>
      </c>
      <c r="B178">
        <v>748204</v>
      </c>
      <c r="C178" t="s">
        <v>5</v>
      </c>
      <c r="D178">
        <v>1596</v>
      </c>
      <c r="E178" s="1">
        <v>44075</v>
      </c>
      <c r="F178">
        <v>9576</v>
      </c>
      <c r="G178">
        <v>4389</v>
      </c>
      <c r="H178">
        <f t="shared" si="8"/>
        <v>6</v>
      </c>
      <c r="I178">
        <f t="shared" si="9"/>
        <v>2.75</v>
      </c>
      <c r="J178" s="35">
        <f t="shared" si="10"/>
        <v>3.25</v>
      </c>
      <c r="K178">
        <f t="shared" si="11"/>
        <v>5187</v>
      </c>
    </row>
    <row r="179" spans="1:11" x14ac:dyDescent="0.25">
      <c r="A179">
        <v>3</v>
      </c>
      <c r="B179">
        <v>788478</v>
      </c>
      <c r="C179" t="s">
        <v>4</v>
      </c>
      <c r="D179">
        <v>1907</v>
      </c>
      <c r="E179" s="1">
        <v>44075</v>
      </c>
      <c r="F179">
        <v>9535</v>
      </c>
      <c r="G179">
        <v>4195.4000000000005</v>
      </c>
      <c r="H179">
        <f t="shared" si="8"/>
        <v>5</v>
      </c>
      <c r="I179">
        <f t="shared" si="9"/>
        <v>2.2000000000000002</v>
      </c>
      <c r="J179" s="35">
        <f t="shared" si="10"/>
        <v>2.8</v>
      </c>
      <c r="K179">
        <f t="shared" si="11"/>
        <v>5339.5999999999995</v>
      </c>
    </row>
    <row r="180" spans="1:11" x14ac:dyDescent="0.25">
      <c r="A180">
        <v>1</v>
      </c>
      <c r="B180">
        <v>296424</v>
      </c>
      <c r="C180" t="s">
        <v>3</v>
      </c>
      <c r="D180">
        <v>1901</v>
      </c>
      <c r="E180" s="1">
        <v>43983</v>
      </c>
      <c r="F180">
        <v>9505</v>
      </c>
      <c r="G180">
        <v>3802</v>
      </c>
      <c r="H180">
        <f t="shared" si="8"/>
        <v>5</v>
      </c>
      <c r="I180">
        <f t="shared" si="9"/>
        <v>2</v>
      </c>
      <c r="J180" s="35">
        <f t="shared" si="10"/>
        <v>3</v>
      </c>
      <c r="K180">
        <f t="shared" si="11"/>
        <v>5703</v>
      </c>
    </row>
    <row r="181" spans="1:11" x14ac:dyDescent="0.25">
      <c r="A181">
        <v>3</v>
      </c>
      <c r="B181">
        <v>609228</v>
      </c>
      <c r="C181" t="s">
        <v>4</v>
      </c>
      <c r="D181">
        <v>1899</v>
      </c>
      <c r="E181" s="1">
        <v>43983</v>
      </c>
      <c r="F181">
        <v>9495</v>
      </c>
      <c r="G181">
        <v>4177.8</v>
      </c>
      <c r="H181">
        <f t="shared" si="8"/>
        <v>5</v>
      </c>
      <c r="I181">
        <f t="shared" si="9"/>
        <v>2.2000000000000002</v>
      </c>
      <c r="J181" s="35">
        <f t="shared" si="10"/>
        <v>2.8</v>
      </c>
      <c r="K181">
        <f t="shared" si="11"/>
        <v>5317.2</v>
      </c>
    </row>
    <row r="182" spans="1:11" x14ac:dyDescent="0.25">
      <c r="A182">
        <v>2</v>
      </c>
      <c r="B182">
        <v>818350</v>
      </c>
      <c r="C182" t="s">
        <v>5</v>
      </c>
      <c r="D182">
        <v>1582</v>
      </c>
      <c r="E182" s="1">
        <v>44166</v>
      </c>
      <c r="F182">
        <v>9492</v>
      </c>
      <c r="G182">
        <v>4350.5</v>
      </c>
      <c r="H182">
        <f t="shared" si="8"/>
        <v>6</v>
      </c>
      <c r="I182">
        <f t="shared" si="9"/>
        <v>2.75</v>
      </c>
      <c r="J182" s="35">
        <f t="shared" si="10"/>
        <v>3.25</v>
      </c>
      <c r="K182">
        <f t="shared" si="11"/>
        <v>5141.5</v>
      </c>
    </row>
    <row r="183" spans="1:11" x14ac:dyDescent="0.25">
      <c r="A183">
        <v>3</v>
      </c>
      <c r="B183">
        <v>355971</v>
      </c>
      <c r="C183" t="s">
        <v>5</v>
      </c>
      <c r="D183">
        <v>1579</v>
      </c>
      <c r="E183" s="1">
        <v>44044</v>
      </c>
      <c r="F183">
        <v>9474</v>
      </c>
      <c r="G183">
        <v>4342.25</v>
      </c>
      <c r="H183">
        <f t="shared" si="8"/>
        <v>6</v>
      </c>
      <c r="I183">
        <f t="shared" si="9"/>
        <v>2.75</v>
      </c>
      <c r="J183" s="35">
        <f t="shared" si="10"/>
        <v>3.25</v>
      </c>
      <c r="K183">
        <f t="shared" si="11"/>
        <v>5131.75</v>
      </c>
    </row>
    <row r="184" spans="1:11" x14ac:dyDescent="0.25">
      <c r="A184">
        <v>1</v>
      </c>
      <c r="B184">
        <v>674043</v>
      </c>
      <c r="C184" t="s">
        <v>5</v>
      </c>
      <c r="D184">
        <v>1575</v>
      </c>
      <c r="E184" s="1">
        <v>43862</v>
      </c>
      <c r="F184">
        <v>9450</v>
      </c>
      <c r="G184">
        <v>4331.25</v>
      </c>
      <c r="H184">
        <f t="shared" si="8"/>
        <v>6</v>
      </c>
      <c r="I184">
        <f t="shared" si="9"/>
        <v>2.75</v>
      </c>
      <c r="J184" s="35">
        <f t="shared" si="10"/>
        <v>3.25</v>
      </c>
      <c r="K184">
        <f t="shared" si="11"/>
        <v>5118.75</v>
      </c>
    </row>
    <row r="185" spans="1:11" x14ac:dyDescent="0.25">
      <c r="A185">
        <v>2</v>
      </c>
      <c r="B185">
        <v>149035</v>
      </c>
      <c r="C185" t="s">
        <v>5</v>
      </c>
      <c r="D185">
        <v>1566</v>
      </c>
      <c r="E185" s="1">
        <v>44105</v>
      </c>
      <c r="F185">
        <v>9396</v>
      </c>
      <c r="G185">
        <v>4306.5</v>
      </c>
      <c r="H185">
        <f t="shared" si="8"/>
        <v>6</v>
      </c>
      <c r="I185">
        <f t="shared" si="9"/>
        <v>2.75</v>
      </c>
      <c r="J185" s="35">
        <f t="shared" si="10"/>
        <v>3.25</v>
      </c>
      <c r="K185">
        <f t="shared" si="11"/>
        <v>5089.5</v>
      </c>
    </row>
    <row r="186" spans="1:11" x14ac:dyDescent="0.25">
      <c r="A186">
        <v>2</v>
      </c>
      <c r="B186">
        <v>227896</v>
      </c>
      <c r="C186" t="s">
        <v>4</v>
      </c>
      <c r="D186">
        <v>1870</v>
      </c>
      <c r="E186" s="1">
        <v>43770</v>
      </c>
      <c r="F186">
        <v>9350</v>
      </c>
      <c r="G186">
        <v>4114</v>
      </c>
      <c r="H186">
        <f t="shared" si="8"/>
        <v>5</v>
      </c>
      <c r="I186">
        <f t="shared" si="9"/>
        <v>2.2000000000000002</v>
      </c>
      <c r="J186" s="35">
        <f t="shared" si="10"/>
        <v>2.8</v>
      </c>
      <c r="K186">
        <f t="shared" si="11"/>
        <v>5236</v>
      </c>
    </row>
    <row r="187" spans="1:11" x14ac:dyDescent="0.25">
      <c r="A187">
        <v>4</v>
      </c>
      <c r="B187">
        <v>283163</v>
      </c>
      <c r="C187" t="s">
        <v>4</v>
      </c>
      <c r="D187">
        <v>1865</v>
      </c>
      <c r="E187" s="1">
        <v>43862</v>
      </c>
      <c r="F187">
        <v>9325</v>
      </c>
      <c r="G187">
        <v>4103</v>
      </c>
      <c r="H187">
        <f t="shared" si="8"/>
        <v>5</v>
      </c>
      <c r="I187">
        <f t="shared" si="9"/>
        <v>2.2000000000000002</v>
      </c>
      <c r="J187" s="35">
        <f t="shared" si="10"/>
        <v>2.8</v>
      </c>
      <c r="K187">
        <f t="shared" si="11"/>
        <v>5222</v>
      </c>
    </row>
    <row r="188" spans="1:11" x14ac:dyDescent="0.25">
      <c r="A188">
        <v>1</v>
      </c>
      <c r="B188">
        <v>643742</v>
      </c>
      <c r="C188" t="s">
        <v>5</v>
      </c>
      <c r="D188">
        <v>1545</v>
      </c>
      <c r="E188" s="1">
        <v>43983</v>
      </c>
      <c r="F188">
        <v>9270</v>
      </c>
      <c r="G188">
        <v>4248.75</v>
      </c>
      <c r="H188">
        <f t="shared" si="8"/>
        <v>6</v>
      </c>
      <c r="I188">
        <f t="shared" si="9"/>
        <v>2.75</v>
      </c>
      <c r="J188" s="35">
        <f t="shared" si="10"/>
        <v>3.25</v>
      </c>
      <c r="K188">
        <f t="shared" si="11"/>
        <v>5021.25</v>
      </c>
    </row>
    <row r="189" spans="1:11" x14ac:dyDescent="0.25">
      <c r="A189">
        <v>4</v>
      </c>
      <c r="B189">
        <v>632637</v>
      </c>
      <c r="C189" t="s">
        <v>2</v>
      </c>
      <c r="D189">
        <v>2300</v>
      </c>
      <c r="E189" s="1">
        <v>44166</v>
      </c>
      <c r="F189">
        <v>9200</v>
      </c>
      <c r="G189">
        <v>3450</v>
      </c>
      <c r="H189">
        <f t="shared" si="8"/>
        <v>4</v>
      </c>
      <c r="I189">
        <f t="shared" si="9"/>
        <v>1.5</v>
      </c>
      <c r="J189" s="35">
        <f t="shared" si="10"/>
        <v>2.5</v>
      </c>
      <c r="K189">
        <f t="shared" si="11"/>
        <v>5750</v>
      </c>
    </row>
    <row r="190" spans="1:11" x14ac:dyDescent="0.25">
      <c r="A190">
        <v>4</v>
      </c>
      <c r="B190">
        <v>288662</v>
      </c>
      <c r="C190" t="s">
        <v>2</v>
      </c>
      <c r="D190">
        <v>2299</v>
      </c>
      <c r="E190" s="1">
        <v>43739</v>
      </c>
      <c r="F190">
        <v>9196</v>
      </c>
      <c r="G190">
        <v>3448.5</v>
      </c>
      <c r="H190">
        <f t="shared" si="8"/>
        <v>4</v>
      </c>
      <c r="I190">
        <f t="shared" si="9"/>
        <v>1.5</v>
      </c>
      <c r="J190" s="35">
        <f t="shared" si="10"/>
        <v>2.5</v>
      </c>
      <c r="K190">
        <f t="shared" si="11"/>
        <v>5747.5</v>
      </c>
    </row>
    <row r="191" spans="1:11" x14ac:dyDescent="0.25">
      <c r="A191">
        <v>5</v>
      </c>
      <c r="B191">
        <v>374150</v>
      </c>
      <c r="C191" t="s">
        <v>5</v>
      </c>
      <c r="D191">
        <v>1530</v>
      </c>
      <c r="E191" s="1">
        <v>43952</v>
      </c>
      <c r="F191">
        <v>9180</v>
      </c>
      <c r="G191">
        <v>4207.5</v>
      </c>
      <c r="H191">
        <f t="shared" si="8"/>
        <v>6</v>
      </c>
      <c r="I191">
        <f t="shared" si="9"/>
        <v>2.75</v>
      </c>
      <c r="J191" s="35">
        <f t="shared" si="10"/>
        <v>3.25</v>
      </c>
      <c r="K191">
        <f t="shared" si="11"/>
        <v>4972.5</v>
      </c>
    </row>
    <row r="192" spans="1:11" x14ac:dyDescent="0.25">
      <c r="A192">
        <v>4</v>
      </c>
      <c r="B192">
        <v>534742</v>
      </c>
      <c r="C192" t="s">
        <v>3</v>
      </c>
      <c r="D192">
        <v>1823</v>
      </c>
      <c r="E192" s="1">
        <v>44013</v>
      </c>
      <c r="F192">
        <v>9115</v>
      </c>
      <c r="G192">
        <v>3646</v>
      </c>
      <c r="H192">
        <f t="shared" si="8"/>
        <v>5</v>
      </c>
      <c r="I192">
        <f t="shared" si="9"/>
        <v>2</v>
      </c>
      <c r="J192" s="35">
        <f t="shared" si="10"/>
        <v>3</v>
      </c>
      <c r="K192">
        <f t="shared" si="11"/>
        <v>5469</v>
      </c>
    </row>
    <row r="193" spans="1:11" x14ac:dyDescent="0.25">
      <c r="A193">
        <v>4</v>
      </c>
      <c r="B193">
        <v>481875</v>
      </c>
      <c r="C193" t="s">
        <v>3</v>
      </c>
      <c r="D193">
        <v>1817</v>
      </c>
      <c r="E193" s="1">
        <v>44166</v>
      </c>
      <c r="F193">
        <v>9085</v>
      </c>
      <c r="G193">
        <v>3634</v>
      </c>
      <c r="H193">
        <f t="shared" si="8"/>
        <v>5</v>
      </c>
      <c r="I193">
        <f t="shared" si="9"/>
        <v>2</v>
      </c>
      <c r="J193" s="35">
        <f t="shared" si="10"/>
        <v>3</v>
      </c>
      <c r="K193">
        <f t="shared" si="11"/>
        <v>5451</v>
      </c>
    </row>
    <row r="194" spans="1:11" x14ac:dyDescent="0.25">
      <c r="A194">
        <v>4</v>
      </c>
      <c r="B194">
        <v>348194</v>
      </c>
      <c r="C194" t="s">
        <v>3</v>
      </c>
      <c r="D194">
        <v>1802</v>
      </c>
      <c r="E194" s="1">
        <v>43800</v>
      </c>
      <c r="F194">
        <v>9010</v>
      </c>
      <c r="G194">
        <v>3604</v>
      </c>
      <c r="H194">
        <f t="shared" si="8"/>
        <v>5</v>
      </c>
      <c r="I194">
        <f t="shared" si="9"/>
        <v>2</v>
      </c>
      <c r="J194" s="35">
        <f t="shared" si="10"/>
        <v>3</v>
      </c>
      <c r="K194">
        <f t="shared" si="11"/>
        <v>5406</v>
      </c>
    </row>
    <row r="195" spans="1:11" x14ac:dyDescent="0.25">
      <c r="A195">
        <v>3</v>
      </c>
      <c r="B195">
        <v>625104</v>
      </c>
      <c r="C195" t="s">
        <v>5</v>
      </c>
      <c r="D195">
        <v>1498</v>
      </c>
      <c r="E195" s="1">
        <v>43983</v>
      </c>
      <c r="F195">
        <v>8988</v>
      </c>
      <c r="G195">
        <v>4119.5</v>
      </c>
      <c r="H195">
        <f t="shared" ref="H195:H258" si="12">F195/D195</f>
        <v>6</v>
      </c>
      <c r="I195">
        <f t="shared" ref="I195:I258" si="13">G195/D195</f>
        <v>2.75</v>
      </c>
      <c r="J195" s="35">
        <f t="shared" ref="J195:J258" si="14">H195-I195</f>
        <v>3.25</v>
      </c>
      <c r="K195">
        <f t="shared" ref="K195:K258" si="15">D195*J195</f>
        <v>4868.5</v>
      </c>
    </row>
    <row r="196" spans="1:11" x14ac:dyDescent="0.25">
      <c r="A196">
        <v>2</v>
      </c>
      <c r="B196">
        <v>250308</v>
      </c>
      <c r="C196" t="s">
        <v>5</v>
      </c>
      <c r="D196">
        <v>1496</v>
      </c>
      <c r="E196" s="1">
        <v>43983</v>
      </c>
      <c r="F196">
        <v>8976</v>
      </c>
      <c r="G196">
        <v>4114</v>
      </c>
      <c r="H196">
        <f t="shared" si="12"/>
        <v>6</v>
      </c>
      <c r="I196">
        <f t="shared" si="13"/>
        <v>2.75</v>
      </c>
      <c r="J196" s="35">
        <f t="shared" si="14"/>
        <v>3.25</v>
      </c>
      <c r="K196">
        <f t="shared" si="15"/>
        <v>4862</v>
      </c>
    </row>
    <row r="197" spans="1:11" x14ac:dyDescent="0.25">
      <c r="A197">
        <v>2</v>
      </c>
      <c r="B197">
        <v>616386</v>
      </c>
      <c r="C197" t="s">
        <v>5</v>
      </c>
      <c r="D197">
        <v>1493</v>
      </c>
      <c r="E197" s="1">
        <v>43831</v>
      </c>
      <c r="F197">
        <v>8958</v>
      </c>
      <c r="G197">
        <v>4105.75</v>
      </c>
      <c r="H197">
        <f t="shared" si="12"/>
        <v>6</v>
      </c>
      <c r="I197">
        <f t="shared" si="13"/>
        <v>2.75</v>
      </c>
      <c r="J197" s="35">
        <f t="shared" si="14"/>
        <v>3.25</v>
      </c>
      <c r="K197">
        <f t="shared" si="15"/>
        <v>4852.25</v>
      </c>
    </row>
    <row r="198" spans="1:11" x14ac:dyDescent="0.25">
      <c r="A198">
        <v>1</v>
      </c>
      <c r="B198">
        <v>303687</v>
      </c>
      <c r="C198" t="s">
        <v>3</v>
      </c>
      <c r="D198">
        <v>1785</v>
      </c>
      <c r="E198" s="1">
        <v>43770</v>
      </c>
      <c r="F198">
        <v>8925</v>
      </c>
      <c r="G198">
        <v>3570</v>
      </c>
      <c r="H198">
        <f t="shared" si="12"/>
        <v>5</v>
      </c>
      <c r="I198">
        <f t="shared" si="13"/>
        <v>2</v>
      </c>
      <c r="J198" s="35">
        <f t="shared" si="14"/>
        <v>3</v>
      </c>
      <c r="K198">
        <f t="shared" si="15"/>
        <v>5355</v>
      </c>
    </row>
    <row r="199" spans="1:11" x14ac:dyDescent="0.25">
      <c r="A199">
        <v>2</v>
      </c>
      <c r="B199">
        <v>733366</v>
      </c>
      <c r="C199" t="s">
        <v>4</v>
      </c>
      <c r="D199">
        <v>1778</v>
      </c>
      <c r="E199" s="1">
        <v>43800</v>
      </c>
      <c r="F199">
        <v>8890</v>
      </c>
      <c r="G199">
        <v>3911.6000000000004</v>
      </c>
      <c r="H199">
        <f t="shared" si="12"/>
        <v>5</v>
      </c>
      <c r="I199">
        <f t="shared" si="13"/>
        <v>2.2000000000000002</v>
      </c>
      <c r="J199" s="35">
        <f t="shared" si="14"/>
        <v>2.8</v>
      </c>
      <c r="K199">
        <f t="shared" si="15"/>
        <v>4978.3999999999996</v>
      </c>
    </row>
    <row r="200" spans="1:11" x14ac:dyDescent="0.25">
      <c r="A200">
        <v>3</v>
      </c>
      <c r="B200">
        <v>839631</v>
      </c>
      <c r="C200" t="s">
        <v>3</v>
      </c>
      <c r="D200">
        <v>1775</v>
      </c>
      <c r="E200" s="1">
        <v>43770</v>
      </c>
      <c r="F200">
        <v>8875</v>
      </c>
      <c r="G200">
        <v>3550</v>
      </c>
      <c r="H200">
        <f t="shared" si="12"/>
        <v>5</v>
      </c>
      <c r="I200">
        <f t="shared" si="13"/>
        <v>2</v>
      </c>
      <c r="J200" s="35">
        <f t="shared" si="14"/>
        <v>3</v>
      </c>
      <c r="K200">
        <f t="shared" si="15"/>
        <v>5325</v>
      </c>
    </row>
    <row r="201" spans="1:11" x14ac:dyDescent="0.25">
      <c r="A201">
        <v>1</v>
      </c>
      <c r="B201">
        <v>779279</v>
      </c>
      <c r="C201" t="s">
        <v>3</v>
      </c>
      <c r="D201">
        <v>1774</v>
      </c>
      <c r="E201" s="1">
        <v>43891</v>
      </c>
      <c r="F201">
        <v>8870</v>
      </c>
      <c r="G201">
        <v>3548</v>
      </c>
      <c r="H201">
        <f t="shared" si="12"/>
        <v>5</v>
      </c>
      <c r="I201">
        <f t="shared" si="13"/>
        <v>2</v>
      </c>
      <c r="J201" s="35">
        <f t="shared" si="14"/>
        <v>3</v>
      </c>
      <c r="K201">
        <f t="shared" si="15"/>
        <v>5322</v>
      </c>
    </row>
    <row r="202" spans="1:11" x14ac:dyDescent="0.25">
      <c r="A202">
        <v>4</v>
      </c>
      <c r="B202">
        <v>780393</v>
      </c>
      <c r="C202" t="s">
        <v>1</v>
      </c>
      <c r="D202">
        <v>2954</v>
      </c>
      <c r="E202" s="1">
        <v>43770</v>
      </c>
      <c r="F202">
        <v>8862</v>
      </c>
      <c r="G202">
        <v>3692.5</v>
      </c>
      <c r="H202">
        <f t="shared" si="12"/>
        <v>3</v>
      </c>
      <c r="I202">
        <f t="shared" si="13"/>
        <v>1.25</v>
      </c>
      <c r="J202" s="35">
        <f t="shared" si="14"/>
        <v>1.75</v>
      </c>
      <c r="K202">
        <f t="shared" si="15"/>
        <v>5169.5</v>
      </c>
    </row>
    <row r="203" spans="1:11" x14ac:dyDescent="0.25">
      <c r="A203">
        <v>3</v>
      </c>
      <c r="B203">
        <v>786473</v>
      </c>
      <c r="C203" t="s">
        <v>4</v>
      </c>
      <c r="D203">
        <v>1770</v>
      </c>
      <c r="E203" s="1">
        <v>43800</v>
      </c>
      <c r="F203">
        <v>8850</v>
      </c>
      <c r="G203">
        <v>3894.0000000000005</v>
      </c>
      <c r="H203">
        <f t="shared" si="12"/>
        <v>5</v>
      </c>
      <c r="I203">
        <f t="shared" si="13"/>
        <v>2.2000000000000002</v>
      </c>
      <c r="J203" s="35">
        <f t="shared" si="14"/>
        <v>2.8</v>
      </c>
      <c r="K203">
        <f t="shared" si="15"/>
        <v>4956</v>
      </c>
    </row>
    <row r="204" spans="1:11" x14ac:dyDescent="0.25">
      <c r="A204">
        <v>4</v>
      </c>
      <c r="B204">
        <v>544855</v>
      </c>
      <c r="C204" t="s">
        <v>3</v>
      </c>
      <c r="D204">
        <v>1767</v>
      </c>
      <c r="E204" s="1">
        <v>44075</v>
      </c>
      <c r="F204">
        <v>8835</v>
      </c>
      <c r="G204">
        <v>3534</v>
      </c>
      <c r="H204">
        <f t="shared" si="12"/>
        <v>5</v>
      </c>
      <c r="I204">
        <f t="shared" si="13"/>
        <v>2</v>
      </c>
      <c r="J204" s="35">
        <f t="shared" si="14"/>
        <v>3</v>
      </c>
      <c r="K204">
        <f t="shared" si="15"/>
        <v>5301</v>
      </c>
    </row>
    <row r="205" spans="1:11" x14ac:dyDescent="0.25">
      <c r="A205">
        <v>2</v>
      </c>
      <c r="B205">
        <v>856913</v>
      </c>
      <c r="C205" t="s">
        <v>1</v>
      </c>
      <c r="D205">
        <v>2935</v>
      </c>
      <c r="E205" s="1">
        <v>43770</v>
      </c>
      <c r="F205">
        <v>8805</v>
      </c>
      <c r="G205">
        <v>3668.75</v>
      </c>
      <c r="H205">
        <f t="shared" si="12"/>
        <v>3</v>
      </c>
      <c r="I205">
        <f t="shared" si="13"/>
        <v>1.25</v>
      </c>
      <c r="J205" s="35">
        <f t="shared" si="14"/>
        <v>1.75</v>
      </c>
      <c r="K205">
        <f t="shared" si="15"/>
        <v>5136.25</v>
      </c>
    </row>
    <row r="206" spans="1:11" x14ac:dyDescent="0.25">
      <c r="A206">
        <v>1</v>
      </c>
      <c r="B206">
        <v>141665</v>
      </c>
      <c r="C206" t="s">
        <v>3</v>
      </c>
      <c r="D206">
        <v>1760</v>
      </c>
      <c r="E206" s="1">
        <v>43709</v>
      </c>
      <c r="F206">
        <v>8800</v>
      </c>
      <c r="G206">
        <v>3520</v>
      </c>
      <c r="H206">
        <f t="shared" si="12"/>
        <v>5</v>
      </c>
      <c r="I206">
        <f t="shared" si="13"/>
        <v>2</v>
      </c>
      <c r="J206" s="35">
        <f t="shared" si="14"/>
        <v>3</v>
      </c>
      <c r="K206">
        <f t="shared" si="15"/>
        <v>5280</v>
      </c>
    </row>
    <row r="207" spans="1:11" x14ac:dyDescent="0.25">
      <c r="A207">
        <v>3</v>
      </c>
      <c r="B207">
        <v>464499</v>
      </c>
      <c r="C207" t="s">
        <v>5</v>
      </c>
      <c r="D207">
        <v>1465</v>
      </c>
      <c r="E207" s="1">
        <v>43891</v>
      </c>
      <c r="F207">
        <v>8790</v>
      </c>
      <c r="G207">
        <v>4028.75</v>
      </c>
      <c r="H207">
        <f t="shared" si="12"/>
        <v>6</v>
      </c>
      <c r="I207">
        <f t="shared" si="13"/>
        <v>2.75</v>
      </c>
      <c r="J207" s="35">
        <f t="shared" si="14"/>
        <v>3.25</v>
      </c>
      <c r="K207">
        <f t="shared" si="15"/>
        <v>4761.25</v>
      </c>
    </row>
    <row r="208" spans="1:11" x14ac:dyDescent="0.25">
      <c r="A208">
        <v>4</v>
      </c>
      <c r="B208">
        <v>676135</v>
      </c>
      <c r="C208" t="s">
        <v>3</v>
      </c>
      <c r="D208">
        <v>1757</v>
      </c>
      <c r="E208" s="1">
        <v>43739</v>
      </c>
      <c r="F208">
        <v>8785</v>
      </c>
      <c r="G208">
        <v>3514</v>
      </c>
      <c r="H208">
        <f t="shared" si="12"/>
        <v>5</v>
      </c>
      <c r="I208">
        <f t="shared" si="13"/>
        <v>2</v>
      </c>
      <c r="J208" s="35">
        <f t="shared" si="14"/>
        <v>3</v>
      </c>
      <c r="K208">
        <f t="shared" si="15"/>
        <v>5271</v>
      </c>
    </row>
    <row r="209" spans="1:11" x14ac:dyDescent="0.25">
      <c r="A209">
        <v>2</v>
      </c>
      <c r="B209">
        <v>310429</v>
      </c>
      <c r="C209" t="s">
        <v>2</v>
      </c>
      <c r="D209">
        <v>2181</v>
      </c>
      <c r="E209" s="1">
        <v>44105</v>
      </c>
      <c r="F209">
        <v>8724</v>
      </c>
      <c r="G209">
        <v>3271.5</v>
      </c>
      <c r="H209">
        <f t="shared" si="12"/>
        <v>4</v>
      </c>
      <c r="I209">
        <f t="shared" si="13"/>
        <v>1.5</v>
      </c>
      <c r="J209" s="35">
        <f t="shared" si="14"/>
        <v>2.5</v>
      </c>
      <c r="K209">
        <f t="shared" si="15"/>
        <v>5452.5</v>
      </c>
    </row>
    <row r="210" spans="1:11" x14ac:dyDescent="0.25">
      <c r="A210">
        <v>2</v>
      </c>
      <c r="B210">
        <v>520865</v>
      </c>
      <c r="C210" t="s">
        <v>3</v>
      </c>
      <c r="D210">
        <v>1743</v>
      </c>
      <c r="E210" s="1">
        <v>43739</v>
      </c>
      <c r="F210">
        <v>8715</v>
      </c>
      <c r="G210">
        <v>3486</v>
      </c>
      <c r="H210">
        <f t="shared" si="12"/>
        <v>5</v>
      </c>
      <c r="I210">
        <f t="shared" si="13"/>
        <v>2</v>
      </c>
      <c r="J210" s="35">
        <f t="shared" si="14"/>
        <v>3</v>
      </c>
      <c r="K210">
        <f t="shared" si="15"/>
        <v>5229</v>
      </c>
    </row>
    <row r="211" spans="1:11" x14ac:dyDescent="0.25">
      <c r="A211">
        <v>4</v>
      </c>
      <c r="B211">
        <v>796346</v>
      </c>
      <c r="C211" t="s">
        <v>3</v>
      </c>
      <c r="D211">
        <v>1743</v>
      </c>
      <c r="E211" s="1">
        <v>44044</v>
      </c>
      <c r="F211">
        <v>8715</v>
      </c>
      <c r="G211">
        <v>3486</v>
      </c>
      <c r="H211">
        <f t="shared" si="12"/>
        <v>5</v>
      </c>
      <c r="I211">
        <f t="shared" si="13"/>
        <v>2</v>
      </c>
      <c r="J211" s="35">
        <f t="shared" si="14"/>
        <v>3</v>
      </c>
      <c r="K211">
        <f t="shared" si="15"/>
        <v>5229</v>
      </c>
    </row>
    <row r="212" spans="1:11" x14ac:dyDescent="0.25">
      <c r="A212">
        <v>5</v>
      </c>
      <c r="B212">
        <v>594129</v>
      </c>
      <c r="C212" t="s">
        <v>4</v>
      </c>
      <c r="D212">
        <v>1743</v>
      </c>
      <c r="E212" s="1">
        <v>43739</v>
      </c>
      <c r="F212">
        <v>8715</v>
      </c>
      <c r="G212">
        <v>3834.6000000000004</v>
      </c>
      <c r="H212">
        <f t="shared" si="12"/>
        <v>5</v>
      </c>
      <c r="I212">
        <f t="shared" si="13"/>
        <v>2.2000000000000002</v>
      </c>
      <c r="J212" s="35">
        <f t="shared" si="14"/>
        <v>2.8</v>
      </c>
      <c r="K212">
        <f t="shared" si="15"/>
        <v>4880.3999999999996</v>
      </c>
    </row>
    <row r="213" spans="1:11" x14ac:dyDescent="0.25">
      <c r="A213">
        <v>5</v>
      </c>
      <c r="B213">
        <v>649737</v>
      </c>
      <c r="C213" t="s">
        <v>2</v>
      </c>
      <c r="D213">
        <v>2178</v>
      </c>
      <c r="E213" s="1">
        <v>43983</v>
      </c>
      <c r="F213">
        <v>8712</v>
      </c>
      <c r="G213">
        <v>3267</v>
      </c>
      <c r="H213">
        <f t="shared" si="12"/>
        <v>4</v>
      </c>
      <c r="I213">
        <f t="shared" si="13"/>
        <v>1.5</v>
      </c>
      <c r="J213" s="35">
        <f t="shared" si="14"/>
        <v>2.5</v>
      </c>
      <c r="K213">
        <f t="shared" si="15"/>
        <v>5445</v>
      </c>
    </row>
    <row r="214" spans="1:11" x14ac:dyDescent="0.25">
      <c r="A214">
        <v>2</v>
      </c>
      <c r="B214">
        <v>800536</v>
      </c>
      <c r="C214" t="s">
        <v>1</v>
      </c>
      <c r="D214">
        <v>2903</v>
      </c>
      <c r="E214" s="1">
        <v>43891</v>
      </c>
      <c r="F214">
        <v>8709</v>
      </c>
      <c r="G214">
        <v>3628.75</v>
      </c>
      <c r="H214">
        <f t="shared" si="12"/>
        <v>3</v>
      </c>
      <c r="I214">
        <f t="shared" si="13"/>
        <v>1.25</v>
      </c>
      <c r="J214" s="35">
        <f t="shared" si="14"/>
        <v>1.75</v>
      </c>
      <c r="K214">
        <f t="shared" si="15"/>
        <v>5080.25</v>
      </c>
    </row>
    <row r="215" spans="1:11" x14ac:dyDescent="0.25">
      <c r="A215">
        <v>2</v>
      </c>
      <c r="B215">
        <v>429735</v>
      </c>
      <c r="C215" t="s">
        <v>3</v>
      </c>
      <c r="D215">
        <v>1731</v>
      </c>
      <c r="E215" s="1">
        <v>44105</v>
      </c>
      <c r="F215">
        <v>8655</v>
      </c>
      <c r="G215">
        <v>3462</v>
      </c>
      <c r="H215">
        <f t="shared" si="12"/>
        <v>5</v>
      </c>
      <c r="I215">
        <f t="shared" si="13"/>
        <v>2</v>
      </c>
      <c r="J215" s="35">
        <f t="shared" si="14"/>
        <v>3</v>
      </c>
      <c r="K215">
        <f t="shared" si="15"/>
        <v>5193</v>
      </c>
    </row>
    <row r="216" spans="1:11" x14ac:dyDescent="0.25">
      <c r="A216">
        <v>5</v>
      </c>
      <c r="B216">
        <v>707748</v>
      </c>
      <c r="C216" t="s">
        <v>4</v>
      </c>
      <c r="D216">
        <v>1731</v>
      </c>
      <c r="E216" s="1">
        <v>44105</v>
      </c>
      <c r="F216">
        <v>8655</v>
      </c>
      <c r="G216">
        <v>3808.2000000000003</v>
      </c>
      <c r="H216">
        <f t="shared" si="12"/>
        <v>5</v>
      </c>
      <c r="I216">
        <f t="shared" si="13"/>
        <v>2.2000000000000002</v>
      </c>
      <c r="J216" s="35">
        <f t="shared" si="14"/>
        <v>2.8</v>
      </c>
      <c r="K216">
        <f t="shared" si="15"/>
        <v>4846.7999999999993</v>
      </c>
    </row>
    <row r="217" spans="1:11" x14ac:dyDescent="0.25">
      <c r="A217">
        <v>3</v>
      </c>
      <c r="B217">
        <v>365463</v>
      </c>
      <c r="C217" t="s">
        <v>3</v>
      </c>
      <c r="D217">
        <v>1728</v>
      </c>
      <c r="E217" s="1">
        <v>43952</v>
      </c>
      <c r="F217">
        <v>8640</v>
      </c>
      <c r="G217">
        <v>3456</v>
      </c>
      <c r="H217">
        <f t="shared" si="12"/>
        <v>5</v>
      </c>
      <c r="I217">
        <f t="shared" si="13"/>
        <v>2</v>
      </c>
      <c r="J217" s="35">
        <f t="shared" si="14"/>
        <v>3</v>
      </c>
      <c r="K217">
        <f t="shared" si="15"/>
        <v>5184</v>
      </c>
    </row>
    <row r="218" spans="1:11" x14ac:dyDescent="0.25">
      <c r="A218">
        <v>1</v>
      </c>
      <c r="B218">
        <v>225353</v>
      </c>
      <c r="C218" t="s">
        <v>4</v>
      </c>
      <c r="D218">
        <v>1727</v>
      </c>
      <c r="E218" s="1">
        <v>43739</v>
      </c>
      <c r="F218">
        <v>8635</v>
      </c>
      <c r="G218">
        <v>3799.4</v>
      </c>
      <c r="H218">
        <f t="shared" si="12"/>
        <v>5</v>
      </c>
      <c r="I218">
        <f t="shared" si="13"/>
        <v>2.2000000000000002</v>
      </c>
      <c r="J218" s="35">
        <f t="shared" si="14"/>
        <v>2.8</v>
      </c>
      <c r="K218">
        <f t="shared" si="15"/>
        <v>4835.5999999999995</v>
      </c>
    </row>
    <row r="219" spans="1:11" x14ac:dyDescent="0.25">
      <c r="A219">
        <v>4</v>
      </c>
      <c r="B219">
        <v>439635</v>
      </c>
      <c r="C219" t="s">
        <v>1</v>
      </c>
      <c r="D219">
        <v>2877</v>
      </c>
      <c r="E219" s="1">
        <v>44105</v>
      </c>
      <c r="F219">
        <v>8631</v>
      </c>
      <c r="G219">
        <v>3596.25</v>
      </c>
      <c r="H219">
        <f t="shared" si="12"/>
        <v>3</v>
      </c>
      <c r="I219">
        <f t="shared" si="13"/>
        <v>1.25</v>
      </c>
      <c r="J219" s="35">
        <f t="shared" si="14"/>
        <v>1.75</v>
      </c>
      <c r="K219">
        <f t="shared" si="15"/>
        <v>5034.75</v>
      </c>
    </row>
    <row r="220" spans="1:11" x14ac:dyDescent="0.25">
      <c r="A220">
        <v>4</v>
      </c>
      <c r="B220">
        <v>289811</v>
      </c>
      <c r="C220" t="s">
        <v>3</v>
      </c>
      <c r="D220">
        <v>1725</v>
      </c>
      <c r="E220" s="1">
        <v>43770</v>
      </c>
      <c r="F220">
        <v>8625</v>
      </c>
      <c r="G220">
        <v>3450</v>
      </c>
      <c r="H220">
        <f t="shared" si="12"/>
        <v>5</v>
      </c>
      <c r="I220">
        <f t="shared" si="13"/>
        <v>2</v>
      </c>
      <c r="J220" s="35">
        <f t="shared" si="14"/>
        <v>3</v>
      </c>
      <c r="K220">
        <f t="shared" si="15"/>
        <v>5175</v>
      </c>
    </row>
    <row r="221" spans="1:11" x14ac:dyDescent="0.25">
      <c r="A221">
        <v>4</v>
      </c>
      <c r="B221">
        <v>694579</v>
      </c>
      <c r="C221" t="s">
        <v>2</v>
      </c>
      <c r="D221">
        <v>2156</v>
      </c>
      <c r="E221" s="1">
        <v>44105</v>
      </c>
      <c r="F221">
        <v>8624</v>
      </c>
      <c r="G221">
        <v>3234</v>
      </c>
      <c r="H221">
        <f t="shared" si="12"/>
        <v>4</v>
      </c>
      <c r="I221">
        <f t="shared" si="13"/>
        <v>1.5</v>
      </c>
      <c r="J221" s="35">
        <f t="shared" si="14"/>
        <v>2.5</v>
      </c>
      <c r="K221">
        <f t="shared" si="15"/>
        <v>5390</v>
      </c>
    </row>
    <row r="222" spans="1:11" x14ac:dyDescent="0.25">
      <c r="A222">
        <v>4</v>
      </c>
      <c r="B222">
        <v>338090</v>
      </c>
      <c r="C222" t="s">
        <v>2</v>
      </c>
      <c r="D222">
        <v>2155</v>
      </c>
      <c r="E222" s="1">
        <v>44166</v>
      </c>
      <c r="F222">
        <v>8620</v>
      </c>
      <c r="G222">
        <v>3232.5</v>
      </c>
      <c r="H222">
        <f t="shared" si="12"/>
        <v>4</v>
      </c>
      <c r="I222">
        <f t="shared" si="13"/>
        <v>1.5</v>
      </c>
      <c r="J222" s="35">
        <f t="shared" si="14"/>
        <v>2.5</v>
      </c>
      <c r="K222">
        <f t="shared" si="15"/>
        <v>5387.5</v>
      </c>
    </row>
    <row r="223" spans="1:11" x14ac:dyDescent="0.25">
      <c r="A223">
        <v>4</v>
      </c>
      <c r="B223">
        <v>403455</v>
      </c>
      <c r="C223" t="s">
        <v>2</v>
      </c>
      <c r="D223">
        <v>2145</v>
      </c>
      <c r="E223" s="1">
        <v>43770</v>
      </c>
      <c r="F223">
        <v>8580</v>
      </c>
      <c r="G223">
        <v>3217.5</v>
      </c>
      <c r="H223">
        <f t="shared" si="12"/>
        <v>4</v>
      </c>
      <c r="I223">
        <f t="shared" si="13"/>
        <v>1.5</v>
      </c>
      <c r="J223" s="35">
        <f t="shared" si="14"/>
        <v>2.5</v>
      </c>
      <c r="K223">
        <f t="shared" si="15"/>
        <v>5362.5</v>
      </c>
    </row>
    <row r="224" spans="1:11" x14ac:dyDescent="0.25">
      <c r="A224">
        <v>2</v>
      </c>
      <c r="B224">
        <v>885201</v>
      </c>
      <c r="C224" t="s">
        <v>3</v>
      </c>
      <c r="D224">
        <v>1715</v>
      </c>
      <c r="E224" s="1">
        <v>43739</v>
      </c>
      <c r="F224">
        <v>8575</v>
      </c>
      <c r="G224">
        <v>3430</v>
      </c>
      <c r="H224">
        <f t="shared" si="12"/>
        <v>5</v>
      </c>
      <c r="I224">
        <f t="shared" si="13"/>
        <v>2</v>
      </c>
      <c r="J224" s="35">
        <f t="shared" si="14"/>
        <v>3</v>
      </c>
      <c r="K224">
        <f t="shared" si="15"/>
        <v>5145</v>
      </c>
    </row>
    <row r="225" spans="1:11" x14ac:dyDescent="0.25">
      <c r="A225">
        <v>1</v>
      </c>
      <c r="B225">
        <v>632111</v>
      </c>
      <c r="C225" t="s">
        <v>1</v>
      </c>
      <c r="D225">
        <v>2844</v>
      </c>
      <c r="E225" s="1">
        <v>43862</v>
      </c>
      <c r="F225">
        <v>8532</v>
      </c>
      <c r="G225">
        <v>3555</v>
      </c>
      <c r="H225">
        <f t="shared" si="12"/>
        <v>3</v>
      </c>
      <c r="I225">
        <f t="shared" si="13"/>
        <v>1.25</v>
      </c>
      <c r="J225" s="35">
        <f t="shared" si="14"/>
        <v>1.75</v>
      </c>
      <c r="K225">
        <f t="shared" si="15"/>
        <v>4977</v>
      </c>
    </row>
    <row r="226" spans="1:11" x14ac:dyDescent="0.25">
      <c r="A226">
        <v>2</v>
      </c>
      <c r="B226">
        <v>701669</v>
      </c>
      <c r="C226" t="s">
        <v>1</v>
      </c>
      <c r="D226">
        <v>2844</v>
      </c>
      <c r="E226" s="1">
        <v>43983</v>
      </c>
      <c r="F226">
        <v>8532</v>
      </c>
      <c r="G226">
        <v>3555</v>
      </c>
      <c r="H226">
        <f t="shared" si="12"/>
        <v>3</v>
      </c>
      <c r="I226">
        <f t="shared" si="13"/>
        <v>1.25</v>
      </c>
      <c r="J226" s="35">
        <f t="shared" si="14"/>
        <v>1.75</v>
      </c>
      <c r="K226">
        <f t="shared" si="15"/>
        <v>4977</v>
      </c>
    </row>
    <row r="227" spans="1:11" x14ac:dyDescent="0.25">
      <c r="A227">
        <v>2</v>
      </c>
      <c r="B227">
        <v>566401</v>
      </c>
      <c r="C227" t="s">
        <v>3</v>
      </c>
      <c r="D227">
        <v>1706</v>
      </c>
      <c r="E227" s="1">
        <v>44166</v>
      </c>
      <c r="F227">
        <v>8530</v>
      </c>
      <c r="G227">
        <v>3412</v>
      </c>
      <c r="H227">
        <f t="shared" si="12"/>
        <v>5</v>
      </c>
      <c r="I227">
        <f t="shared" si="13"/>
        <v>2</v>
      </c>
      <c r="J227" s="35">
        <f t="shared" si="14"/>
        <v>3</v>
      </c>
      <c r="K227">
        <f t="shared" si="15"/>
        <v>5118</v>
      </c>
    </row>
    <row r="228" spans="1:11" x14ac:dyDescent="0.25">
      <c r="A228">
        <v>2</v>
      </c>
      <c r="B228">
        <v>562718</v>
      </c>
      <c r="C228" t="s">
        <v>5</v>
      </c>
      <c r="D228">
        <v>1421</v>
      </c>
      <c r="E228" s="1">
        <v>43800</v>
      </c>
      <c r="F228">
        <v>8526</v>
      </c>
      <c r="G228">
        <v>3907.75</v>
      </c>
      <c r="H228">
        <f t="shared" si="12"/>
        <v>6</v>
      </c>
      <c r="I228">
        <f t="shared" si="13"/>
        <v>2.75</v>
      </c>
      <c r="J228" s="35">
        <f t="shared" si="14"/>
        <v>3.25</v>
      </c>
      <c r="K228">
        <f t="shared" si="15"/>
        <v>4618.25</v>
      </c>
    </row>
    <row r="229" spans="1:11" x14ac:dyDescent="0.25">
      <c r="A229">
        <v>3</v>
      </c>
      <c r="B229">
        <v>355287</v>
      </c>
      <c r="C229" t="s">
        <v>1</v>
      </c>
      <c r="D229">
        <v>2838</v>
      </c>
      <c r="E229" s="1">
        <v>43922</v>
      </c>
      <c r="F229">
        <v>8514</v>
      </c>
      <c r="G229">
        <v>3547.5</v>
      </c>
      <c r="H229">
        <f t="shared" si="12"/>
        <v>3</v>
      </c>
      <c r="I229">
        <f t="shared" si="13"/>
        <v>1.25</v>
      </c>
      <c r="J229" s="35">
        <f t="shared" si="14"/>
        <v>1.75</v>
      </c>
      <c r="K229">
        <f t="shared" si="15"/>
        <v>4966.5</v>
      </c>
    </row>
    <row r="230" spans="1:11" x14ac:dyDescent="0.25">
      <c r="A230">
        <v>1</v>
      </c>
      <c r="B230">
        <v>283491</v>
      </c>
      <c r="C230" t="s">
        <v>3</v>
      </c>
      <c r="D230">
        <v>1702</v>
      </c>
      <c r="E230" s="1">
        <v>43952</v>
      </c>
      <c r="F230">
        <v>8510</v>
      </c>
      <c r="G230">
        <v>3404</v>
      </c>
      <c r="H230">
        <f t="shared" si="12"/>
        <v>5</v>
      </c>
      <c r="I230">
        <f t="shared" si="13"/>
        <v>2</v>
      </c>
      <c r="J230" s="35">
        <f t="shared" si="14"/>
        <v>3</v>
      </c>
      <c r="K230">
        <f t="shared" si="15"/>
        <v>5106</v>
      </c>
    </row>
    <row r="231" spans="1:11" x14ac:dyDescent="0.25">
      <c r="A231">
        <v>3</v>
      </c>
      <c r="B231">
        <v>686661</v>
      </c>
      <c r="C231" t="s">
        <v>4</v>
      </c>
      <c r="D231">
        <v>1694</v>
      </c>
      <c r="E231" s="1">
        <v>44136</v>
      </c>
      <c r="F231">
        <v>8470</v>
      </c>
      <c r="G231">
        <v>3726.8</v>
      </c>
      <c r="H231">
        <f t="shared" si="12"/>
        <v>5</v>
      </c>
      <c r="I231">
        <f t="shared" si="13"/>
        <v>2.2000000000000002</v>
      </c>
      <c r="J231" s="35">
        <f t="shared" si="14"/>
        <v>2.8</v>
      </c>
      <c r="K231">
        <f t="shared" si="15"/>
        <v>4743.2</v>
      </c>
    </row>
    <row r="232" spans="1:11" x14ac:dyDescent="0.25">
      <c r="A232">
        <v>3</v>
      </c>
      <c r="B232">
        <v>754791</v>
      </c>
      <c r="C232" t="s">
        <v>4</v>
      </c>
      <c r="D232">
        <v>1686</v>
      </c>
      <c r="E232" s="1">
        <v>44013</v>
      </c>
      <c r="F232">
        <v>8430</v>
      </c>
      <c r="G232">
        <v>3709.2000000000003</v>
      </c>
      <c r="H232">
        <f t="shared" si="12"/>
        <v>5</v>
      </c>
      <c r="I232">
        <f t="shared" si="13"/>
        <v>2.2000000000000002</v>
      </c>
      <c r="J232" s="35">
        <f t="shared" si="14"/>
        <v>2.8</v>
      </c>
      <c r="K232">
        <f t="shared" si="15"/>
        <v>4720.7999999999993</v>
      </c>
    </row>
    <row r="233" spans="1:11" x14ac:dyDescent="0.25">
      <c r="A233">
        <v>2</v>
      </c>
      <c r="B233">
        <v>363822</v>
      </c>
      <c r="C233" t="s">
        <v>1</v>
      </c>
      <c r="D233">
        <v>2807</v>
      </c>
      <c r="E233" s="1">
        <v>44044</v>
      </c>
      <c r="F233">
        <v>8421</v>
      </c>
      <c r="G233">
        <v>3508.75</v>
      </c>
      <c r="H233">
        <f t="shared" si="12"/>
        <v>3</v>
      </c>
      <c r="I233">
        <f t="shared" si="13"/>
        <v>1.25</v>
      </c>
      <c r="J233" s="35">
        <f t="shared" si="14"/>
        <v>1.75</v>
      </c>
      <c r="K233">
        <f t="shared" si="15"/>
        <v>4912.25</v>
      </c>
    </row>
    <row r="234" spans="1:11" x14ac:dyDescent="0.25">
      <c r="A234">
        <v>3</v>
      </c>
      <c r="B234">
        <v>602865</v>
      </c>
      <c r="C234" t="s">
        <v>4</v>
      </c>
      <c r="D234">
        <v>1683</v>
      </c>
      <c r="E234" s="1">
        <v>44013</v>
      </c>
      <c r="F234">
        <v>8415</v>
      </c>
      <c r="G234">
        <v>3702.6000000000004</v>
      </c>
      <c r="H234">
        <f t="shared" si="12"/>
        <v>5</v>
      </c>
      <c r="I234">
        <f t="shared" si="13"/>
        <v>2.2000000000000002</v>
      </c>
      <c r="J234" s="35">
        <f t="shared" si="14"/>
        <v>2.8</v>
      </c>
      <c r="K234">
        <f t="shared" si="15"/>
        <v>4712.3999999999996</v>
      </c>
    </row>
    <row r="235" spans="1:11" x14ac:dyDescent="0.25">
      <c r="A235">
        <v>3</v>
      </c>
      <c r="B235">
        <v>551372</v>
      </c>
      <c r="C235" t="s">
        <v>4</v>
      </c>
      <c r="D235">
        <v>1679</v>
      </c>
      <c r="E235" s="1">
        <v>44075</v>
      </c>
      <c r="F235">
        <v>8395</v>
      </c>
      <c r="G235">
        <v>3693.8</v>
      </c>
      <c r="H235">
        <f t="shared" si="12"/>
        <v>5</v>
      </c>
      <c r="I235">
        <f t="shared" si="13"/>
        <v>2.2000000000000002</v>
      </c>
      <c r="J235" s="35">
        <f t="shared" si="14"/>
        <v>2.8</v>
      </c>
      <c r="K235">
        <f t="shared" si="15"/>
        <v>4701.2</v>
      </c>
    </row>
    <row r="236" spans="1:11" x14ac:dyDescent="0.25">
      <c r="A236">
        <v>2</v>
      </c>
      <c r="B236">
        <v>638098</v>
      </c>
      <c r="C236" t="s">
        <v>5</v>
      </c>
      <c r="D236">
        <v>1395</v>
      </c>
      <c r="E236" s="1">
        <v>44013</v>
      </c>
      <c r="F236">
        <v>8370</v>
      </c>
      <c r="G236">
        <v>3836.25</v>
      </c>
      <c r="H236">
        <f t="shared" si="12"/>
        <v>6</v>
      </c>
      <c r="I236">
        <f t="shared" si="13"/>
        <v>2.75</v>
      </c>
      <c r="J236" s="35">
        <f t="shared" si="14"/>
        <v>3.25</v>
      </c>
      <c r="K236">
        <f t="shared" si="15"/>
        <v>4533.75</v>
      </c>
    </row>
    <row r="237" spans="1:11" x14ac:dyDescent="0.25">
      <c r="A237">
        <v>1</v>
      </c>
      <c r="B237">
        <v>665489</v>
      </c>
      <c r="C237" t="s">
        <v>4</v>
      </c>
      <c r="D237">
        <v>1659</v>
      </c>
      <c r="E237" s="1">
        <v>43831</v>
      </c>
      <c r="F237">
        <v>8295</v>
      </c>
      <c r="G237">
        <v>3649.8</v>
      </c>
      <c r="H237">
        <f t="shared" si="12"/>
        <v>5</v>
      </c>
      <c r="I237">
        <f t="shared" si="13"/>
        <v>2.2000000000000002</v>
      </c>
      <c r="J237" s="35">
        <f t="shared" si="14"/>
        <v>2.8</v>
      </c>
      <c r="K237">
        <f t="shared" si="15"/>
        <v>4645.2</v>
      </c>
    </row>
    <row r="238" spans="1:11" x14ac:dyDescent="0.25">
      <c r="A238">
        <v>5</v>
      </c>
      <c r="B238">
        <v>210209</v>
      </c>
      <c r="C238" t="s">
        <v>1</v>
      </c>
      <c r="D238">
        <v>2747</v>
      </c>
      <c r="E238" s="1">
        <v>43862</v>
      </c>
      <c r="F238">
        <v>8241</v>
      </c>
      <c r="G238">
        <v>3433.75</v>
      </c>
      <c r="H238">
        <f t="shared" si="12"/>
        <v>3</v>
      </c>
      <c r="I238">
        <f t="shared" si="13"/>
        <v>1.25</v>
      </c>
      <c r="J238" s="35">
        <f t="shared" si="14"/>
        <v>1.75</v>
      </c>
      <c r="K238">
        <f t="shared" si="15"/>
        <v>4807.25</v>
      </c>
    </row>
    <row r="239" spans="1:11" x14ac:dyDescent="0.25">
      <c r="A239">
        <v>4</v>
      </c>
      <c r="B239">
        <v>640346</v>
      </c>
      <c r="C239" t="s">
        <v>5</v>
      </c>
      <c r="D239">
        <v>1372</v>
      </c>
      <c r="E239" s="1">
        <v>44166</v>
      </c>
      <c r="F239">
        <v>8232</v>
      </c>
      <c r="G239">
        <v>3773</v>
      </c>
      <c r="H239">
        <f t="shared" si="12"/>
        <v>6</v>
      </c>
      <c r="I239">
        <f t="shared" si="13"/>
        <v>2.75</v>
      </c>
      <c r="J239" s="35">
        <f t="shared" si="14"/>
        <v>3.25</v>
      </c>
      <c r="K239">
        <f t="shared" si="15"/>
        <v>4459</v>
      </c>
    </row>
    <row r="240" spans="1:11" x14ac:dyDescent="0.25">
      <c r="A240">
        <v>3</v>
      </c>
      <c r="B240">
        <v>493427</v>
      </c>
      <c r="C240" t="s">
        <v>4</v>
      </c>
      <c r="D240">
        <v>1645</v>
      </c>
      <c r="E240" s="1">
        <v>43952</v>
      </c>
      <c r="F240">
        <v>8225</v>
      </c>
      <c r="G240">
        <v>3619.0000000000005</v>
      </c>
      <c r="H240">
        <f t="shared" si="12"/>
        <v>5</v>
      </c>
      <c r="I240">
        <f t="shared" si="13"/>
        <v>2.2000000000000002</v>
      </c>
      <c r="J240" s="35">
        <f t="shared" si="14"/>
        <v>2.8</v>
      </c>
      <c r="K240">
        <f t="shared" si="15"/>
        <v>4606</v>
      </c>
    </row>
    <row r="241" spans="1:11" x14ac:dyDescent="0.25">
      <c r="A241">
        <v>4</v>
      </c>
      <c r="B241">
        <v>752965</v>
      </c>
      <c r="C241" t="s">
        <v>1</v>
      </c>
      <c r="D241">
        <v>2729</v>
      </c>
      <c r="E241" s="1">
        <v>44166</v>
      </c>
      <c r="F241">
        <v>8187</v>
      </c>
      <c r="G241">
        <v>3411.25</v>
      </c>
      <c r="H241">
        <f t="shared" si="12"/>
        <v>3</v>
      </c>
      <c r="I241">
        <f t="shared" si="13"/>
        <v>1.25</v>
      </c>
      <c r="J241" s="35">
        <f t="shared" si="14"/>
        <v>1.75</v>
      </c>
      <c r="K241">
        <f t="shared" si="15"/>
        <v>4775.75</v>
      </c>
    </row>
    <row r="242" spans="1:11" x14ac:dyDescent="0.25">
      <c r="A242">
        <v>4</v>
      </c>
      <c r="B242">
        <v>571542</v>
      </c>
      <c r="C242" t="s">
        <v>4</v>
      </c>
      <c r="D242">
        <v>1630.5</v>
      </c>
      <c r="E242" s="1">
        <v>44013</v>
      </c>
      <c r="F242">
        <v>8152.5</v>
      </c>
      <c r="G242">
        <v>3587.1000000000004</v>
      </c>
      <c r="H242">
        <f t="shared" si="12"/>
        <v>5</v>
      </c>
      <c r="I242">
        <f t="shared" si="13"/>
        <v>2.2000000000000002</v>
      </c>
      <c r="J242" s="35">
        <f t="shared" si="14"/>
        <v>2.8</v>
      </c>
      <c r="K242">
        <f t="shared" si="15"/>
        <v>4565.3999999999996</v>
      </c>
    </row>
    <row r="243" spans="1:11" x14ac:dyDescent="0.25">
      <c r="A243">
        <v>4</v>
      </c>
      <c r="B243">
        <v>768268</v>
      </c>
      <c r="C243" t="s">
        <v>2</v>
      </c>
      <c r="D243">
        <v>2030</v>
      </c>
      <c r="E243" s="1">
        <v>44136</v>
      </c>
      <c r="F243">
        <v>8120</v>
      </c>
      <c r="G243">
        <v>3045</v>
      </c>
      <c r="H243">
        <f t="shared" si="12"/>
        <v>4</v>
      </c>
      <c r="I243">
        <f t="shared" si="13"/>
        <v>1.5</v>
      </c>
      <c r="J243" s="35">
        <f t="shared" si="14"/>
        <v>2.5</v>
      </c>
      <c r="K243">
        <f t="shared" si="15"/>
        <v>5075</v>
      </c>
    </row>
    <row r="244" spans="1:11" x14ac:dyDescent="0.25">
      <c r="A244">
        <v>4</v>
      </c>
      <c r="B244">
        <v>725869</v>
      </c>
      <c r="C244" t="s">
        <v>2</v>
      </c>
      <c r="D244">
        <v>2021</v>
      </c>
      <c r="E244" s="1">
        <v>44105</v>
      </c>
      <c r="F244">
        <v>8084</v>
      </c>
      <c r="G244">
        <v>3031.5</v>
      </c>
      <c r="H244">
        <f t="shared" si="12"/>
        <v>4</v>
      </c>
      <c r="I244">
        <f t="shared" si="13"/>
        <v>1.5</v>
      </c>
      <c r="J244" s="35">
        <f t="shared" si="14"/>
        <v>2.5</v>
      </c>
      <c r="K244">
        <f t="shared" si="15"/>
        <v>5052.5</v>
      </c>
    </row>
    <row r="245" spans="1:11" x14ac:dyDescent="0.25">
      <c r="A245">
        <v>3</v>
      </c>
      <c r="B245">
        <v>216326</v>
      </c>
      <c r="C245" t="s">
        <v>3</v>
      </c>
      <c r="D245">
        <v>1614</v>
      </c>
      <c r="E245" s="1">
        <v>43922</v>
      </c>
      <c r="F245">
        <v>8070</v>
      </c>
      <c r="G245">
        <v>3228</v>
      </c>
      <c r="H245">
        <f t="shared" si="12"/>
        <v>5</v>
      </c>
      <c r="I245">
        <f t="shared" si="13"/>
        <v>2</v>
      </c>
      <c r="J245" s="35">
        <f t="shared" si="14"/>
        <v>3</v>
      </c>
      <c r="K245">
        <f t="shared" si="15"/>
        <v>4842</v>
      </c>
    </row>
    <row r="246" spans="1:11" x14ac:dyDescent="0.25">
      <c r="A246">
        <v>5</v>
      </c>
      <c r="B246">
        <v>639651</v>
      </c>
      <c r="C246" t="s">
        <v>1</v>
      </c>
      <c r="D246">
        <v>2689</v>
      </c>
      <c r="E246" s="1">
        <v>44105</v>
      </c>
      <c r="F246">
        <v>8067</v>
      </c>
      <c r="G246">
        <v>3361.25</v>
      </c>
      <c r="H246">
        <f t="shared" si="12"/>
        <v>3</v>
      </c>
      <c r="I246">
        <f t="shared" si="13"/>
        <v>1.25</v>
      </c>
      <c r="J246" s="35">
        <f t="shared" si="14"/>
        <v>1.75</v>
      </c>
      <c r="K246">
        <f t="shared" si="15"/>
        <v>4705.75</v>
      </c>
    </row>
    <row r="247" spans="1:11" x14ac:dyDescent="0.25">
      <c r="A247">
        <v>4</v>
      </c>
      <c r="B247">
        <v>750389</v>
      </c>
      <c r="C247" t="s">
        <v>1</v>
      </c>
      <c r="D247">
        <v>2682</v>
      </c>
      <c r="E247" s="1">
        <v>43770</v>
      </c>
      <c r="F247">
        <v>8046</v>
      </c>
      <c r="G247">
        <v>3352.5</v>
      </c>
      <c r="H247">
        <f t="shared" si="12"/>
        <v>3</v>
      </c>
      <c r="I247">
        <f t="shared" si="13"/>
        <v>1.25</v>
      </c>
      <c r="J247" s="35">
        <f t="shared" si="14"/>
        <v>1.75</v>
      </c>
      <c r="K247">
        <f t="shared" si="15"/>
        <v>4693.5</v>
      </c>
    </row>
    <row r="248" spans="1:11" x14ac:dyDescent="0.25">
      <c r="A248">
        <v>1</v>
      </c>
      <c r="B248">
        <v>218291</v>
      </c>
      <c r="C248" t="s">
        <v>3</v>
      </c>
      <c r="D248">
        <v>1607</v>
      </c>
      <c r="E248" s="1">
        <v>43922</v>
      </c>
      <c r="F248">
        <v>8035</v>
      </c>
      <c r="G248">
        <v>3214</v>
      </c>
      <c r="H248">
        <f t="shared" si="12"/>
        <v>5</v>
      </c>
      <c r="I248">
        <f t="shared" si="13"/>
        <v>2</v>
      </c>
      <c r="J248" s="35">
        <f t="shared" si="14"/>
        <v>3</v>
      </c>
      <c r="K248">
        <f t="shared" si="15"/>
        <v>4821</v>
      </c>
    </row>
    <row r="249" spans="1:11" x14ac:dyDescent="0.25">
      <c r="A249">
        <v>3</v>
      </c>
      <c r="B249">
        <v>169621</v>
      </c>
      <c r="C249" t="s">
        <v>5</v>
      </c>
      <c r="D249">
        <v>1333</v>
      </c>
      <c r="E249" s="1">
        <v>44136</v>
      </c>
      <c r="F249">
        <v>7998</v>
      </c>
      <c r="G249">
        <v>3665.75</v>
      </c>
      <c r="H249">
        <f t="shared" si="12"/>
        <v>6</v>
      </c>
      <c r="I249">
        <f t="shared" si="13"/>
        <v>2.75</v>
      </c>
      <c r="J249" s="35">
        <f t="shared" si="14"/>
        <v>3.25</v>
      </c>
      <c r="K249">
        <f t="shared" si="15"/>
        <v>4332.25</v>
      </c>
    </row>
    <row r="250" spans="1:11" x14ac:dyDescent="0.25">
      <c r="A250">
        <v>3</v>
      </c>
      <c r="B250">
        <v>513469</v>
      </c>
      <c r="C250" t="s">
        <v>3</v>
      </c>
      <c r="D250">
        <v>1598</v>
      </c>
      <c r="E250" s="1">
        <v>44044</v>
      </c>
      <c r="F250">
        <v>7990</v>
      </c>
      <c r="G250">
        <v>3196</v>
      </c>
      <c r="H250">
        <f t="shared" si="12"/>
        <v>5</v>
      </c>
      <c r="I250">
        <f t="shared" si="13"/>
        <v>2</v>
      </c>
      <c r="J250" s="35">
        <f t="shared" si="14"/>
        <v>3</v>
      </c>
      <c r="K250">
        <f t="shared" si="15"/>
        <v>4794</v>
      </c>
    </row>
    <row r="251" spans="1:11" x14ac:dyDescent="0.25">
      <c r="A251">
        <v>2</v>
      </c>
      <c r="B251">
        <v>774130</v>
      </c>
      <c r="C251" t="s">
        <v>1</v>
      </c>
      <c r="D251">
        <v>2663</v>
      </c>
      <c r="E251" s="1">
        <v>44166</v>
      </c>
      <c r="F251">
        <v>7989</v>
      </c>
      <c r="G251">
        <v>3328.75</v>
      </c>
      <c r="H251">
        <f t="shared" si="12"/>
        <v>3</v>
      </c>
      <c r="I251">
        <f t="shared" si="13"/>
        <v>1.25</v>
      </c>
      <c r="J251" s="35">
        <f t="shared" si="14"/>
        <v>1.75</v>
      </c>
      <c r="K251">
        <f t="shared" si="15"/>
        <v>4660.25</v>
      </c>
    </row>
    <row r="252" spans="1:11" x14ac:dyDescent="0.25">
      <c r="A252">
        <v>5</v>
      </c>
      <c r="B252">
        <v>184366</v>
      </c>
      <c r="C252" t="s">
        <v>1</v>
      </c>
      <c r="D252">
        <v>2659</v>
      </c>
      <c r="E252" s="1">
        <v>43862</v>
      </c>
      <c r="F252">
        <v>7977</v>
      </c>
      <c r="G252">
        <v>3323.75</v>
      </c>
      <c r="H252">
        <f t="shared" si="12"/>
        <v>3</v>
      </c>
      <c r="I252">
        <f t="shared" si="13"/>
        <v>1.25</v>
      </c>
      <c r="J252" s="35">
        <f t="shared" si="14"/>
        <v>1.75</v>
      </c>
      <c r="K252">
        <f t="shared" si="15"/>
        <v>4653.25</v>
      </c>
    </row>
    <row r="253" spans="1:11" x14ac:dyDescent="0.25">
      <c r="A253">
        <v>5</v>
      </c>
      <c r="B253">
        <v>559510</v>
      </c>
      <c r="C253" t="s">
        <v>3</v>
      </c>
      <c r="D253">
        <v>1594</v>
      </c>
      <c r="E253" s="1">
        <v>44136</v>
      </c>
      <c r="F253">
        <v>7970</v>
      </c>
      <c r="G253">
        <v>3188</v>
      </c>
      <c r="H253">
        <f t="shared" si="12"/>
        <v>5</v>
      </c>
      <c r="I253">
        <f t="shared" si="13"/>
        <v>2</v>
      </c>
      <c r="J253" s="35">
        <f t="shared" si="14"/>
        <v>3</v>
      </c>
      <c r="K253">
        <f t="shared" si="15"/>
        <v>4782</v>
      </c>
    </row>
    <row r="254" spans="1:11" x14ac:dyDescent="0.25">
      <c r="A254">
        <v>4</v>
      </c>
      <c r="B254">
        <v>670662</v>
      </c>
      <c r="C254" t="s">
        <v>3</v>
      </c>
      <c r="D254">
        <v>1583</v>
      </c>
      <c r="E254" s="1">
        <v>43983</v>
      </c>
      <c r="F254">
        <v>7915</v>
      </c>
      <c r="G254">
        <v>3166</v>
      </c>
      <c r="H254">
        <f t="shared" si="12"/>
        <v>5</v>
      </c>
      <c r="I254">
        <f t="shared" si="13"/>
        <v>2</v>
      </c>
      <c r="J254" s="35">
        <f t="shared" si="14"/>
        <v>3</v>
      </c>
      <c r="K254">
        <f t="shared" si="15"/>
        <v>4749</v>
      </c>
    </row>
    <row r="255" spans="1:11" x14ac:dyDescent="0.25">
      <c r="A255">
        <v>3</v>
      </c>
      <c r="B255">
        <v>365552</v>
      </c>
      <c r="C255" t="s">
        <v>3</v>
      </c>
      <c r="D255">
        <v>1570</v>
      </c>
      <c r="E255" s="1">
        <v>43983</v>
      </c>
      <c r="F255">
        <v>7850</v>
      </c>
      <c r="G255">
        <v>3140</v>
      </c>
      <c r="H255">
        <f t="shared" si="12"/>
        <v>5</v>
      </c>
      <c r="I255">
        <f t="shared" si="13"/>
        <v>2</v>
      </c>
      <c r="J255" s="35">
        <f t="shared" si="14"/>
        <v>3</v>
      </c>
      <c r="K255">
        <f t="shared" si="15"/>
        <v>4710</v>
      </c>
    </row>
    <row r="256" spans="1:11" x14ac:dyDescent="0.25">
      <c r="A256">
        <v>4</v>
      </c>
      <c r="B256">
        <v>696979</v>
      </c>
      <c r="C256" t="s">
        <v>5</v>
      </c>
      <c r="D256">
        <v>1307</v>
      </c>
      <c r="E256" s="1">
        <v>44013</v>
      </c>
      <c r="F256">
        <v>7842</v>
      </c>
      <c r="G256">
        <v>3594.25</v>
      </c>
      <c r="H256">
        <f t="shared" si="12"/>
        <v>6</v>
      </c>
      <c r="I256">
        <f t="shared" si="13"/>
        <v>2.75</v>
      </c>
      <c r="J256" s="35">
        <f t="shared" si="14"/>
        <v>3.25</v>
      </c>
      <c r="K256">
        <f t="shared" si="15"/>
        <v>4247.75</v>
      </c>
    </row>
    <row r="257" spans="1:11" x14ac:dyDescent="0.25">
      <c r="A257">
        <v>5</v>
      </c>
      <c r="B257">
        <v>626543</v>
      </c>
      <c r="C257" t="s">
        <v>3</v>
      </c>
      <c r="D257">
        <v>1565</v>
      </c>
      <c r="E257" s="1">
        <v>44105</v>
      </c>
      <c r="F257">
        <v>7825</v>
      </c>
      <c r="G257">
        <v>3130</v>
      </c>
      <c r="H257">
        <f t="shared" si="12"/>
        <v>5</v>
      </c>
      <c r="I257">
        <f t="shared" si="13"/>
        <v>2</v>
      </c>
      <c r="J257" s="35">
        <f t="shared" si="14"/>
        <v>3</v>
      </c>
      <c r="K257">
        <f t="shared" si="15"/>
        <v>4695</v>
      </c>
    </row>
    <row r="258" spans="1:11" x14ac:dyDescent="0.25">
      <c r="A258">
        <v>3</v>
      </c>
      <c r="B258">
        <v>863607</v>
      </c>
      <c r="C258" t="s">
        <v>2</v>
      </c>
      <c r="D258">
        <v>1947</v>
      </c>
      <c r="E258" s="1">
        <v>44075</v>
      </c>
      <c r="F258">
        <v>7788</v>
      </c>
      <c r="G258">
        <v>2920.5</v>
      </c>
      <c r="H258">
        <f t="shared" si="12"/>
        <v>4</v>
      </c>
      <c r="I258">
        <f t="shared" si="13"/>
        <v>1.5</v>
      </c>
      <c r="J258" s="35">
        <f t="shared" si="14"/>
        <v>2.5</v>
      </c>
      <c r="K258">
        <f t="shared" si="15"/>
        <v>4867.5</v>
      </c>
    </row>
    <row r="259" spans="1:11" x14ac:dyDescent="0.25">
      <c r="A259">
        <v>1</v>
      </c>
      <c r="B259">
        <v>241164</v>
      </c>
      <c r="C259" t="s">
        <v>2</v>
      </c>
      <c r="D259">
        <v>1937</v>
      </c>
      <c r="E259" s="1">
        <v>43862</v>
      </c>
      <c r="F259">
        <v>7748</v>
      </c>
      <c r="G259">
        <v>2905.5</v>
      </c>
      <c r="H259">
        <f t="shared" ref="H259:H322" si="16">F259/D259</f>
        <v>4</v>
      </c>
      <c r="I259">
        <f t="shared" ref="I259:I322" si="17">G259/D259</f>
        <v>1.5</v>
      </c>
      <c r="J259" s="35">
        <f t="shared" ref="J259:J322" si="18">H259-I259</f>
        <v>2.5</v>
      </c>
      <c r="K259">
        <f t="shared" ref="K259:K322" si="19">D259*J259</f>
        <v>4842.5</v>
      </c>
    </row>
    <row r="260" spans="1:11" x14ac:dyDescent="0.25">
      <c r="A260">
        <v>2</v>
      </c>
      <c r="B260">
        <v>384410</v>
      </c>
      <c r="C260" t="s">
        <v>1</v>
      </c>
      <c r="D260">
        <v>2567</v>
      </c>
      <c r="E260" s="1">
        <v>43983</v>
      </c>
      <c r="F260">
        <v>7701</v>
      </c>
      <c r="G260">
        <v>3208.75</v>
      </c>
      <c r="H260">
        <f t="shared" si="16"/>
        <v>3</v>
      </c>
      <c r="I260">
        <f t="shared" si="17"/>
        <v>1.25</v>
      </c>
      <c r="J260" s="35">
        <f t="shared" si="18"/>
        <v>1.75</v>
      </c>
      <c r="K260">
        <f t="shared" si="19"/>
        <v>4492.25</v>
      </c>
    </row>
    <row r="261" spans="1:11" x14ac:dyDescent="0.25">
      <c r="A261">
        <v>3</v>
      </c>
      <c r="B261">
        <v>293863</v>
      </c>
      <c r="C261" t="s">
        <v>3</v>
      </c>
      <c r="D261">
        <v>1535</v>
      </c>
      <c r="E261" s="1">
        <v>44075</v>
      </c>
      <c r="F261">
        <v>7675</v>
      </c>
      <c r="G261">
        <v>3070</v>
      </c>
      <c r="H261">
        <f t="shared" si="16"/>
        <v>5</v>
      </c>
      <c r="I261">
        <f t="shared" si="17"/>
        <v>2</v>
      </c>
      <c r="J261" s="35">
        <f t="shared" si="18"/>
        <v>3</v>
      </c>
      <c r="K261">
        <f t="shared" si="19"/>
        <v>4605</v>
      </c>
    </row>
    <row r="262" spans="1:11" x14ac:dyDescent="0.25">
      <c r="A262">
        <v>3</v>
      </c>
      <c r="B262">
        <v>143923</v>
      </c>
      <c r="C262" t="s">
        <v>3</v>
      </c>
      <c r="D262">
        <v>1531</v>
      </c>
      <c r="E262" s="1">
        <v>44166</v>
      </c>
      <c r="F262">
        <v>7655</v>
      </c>
      <c r="G262">
        <v>3062</v>
      </c>
      <c r="H262">
        <f t="shared" si="16"/>
        <v>5</v>
      </c>
      <c r="I262">
        <f t="shared" si="17"/>
        <v>2</v>
      </c>
      <c r="J262" s="35">
        <f t="shared" si="18"/>
        <v>3</v>
      </c>
      <c r="K262">
        <f t="shared" si="19"/>
        <v>4593</v>
      </c>
    </row>
    <row r="263" spans="1:11" x14ac:dyDescent="0.25">
      <c r="A263">
        <v>3</v>
      </c>
      <c r="B263">
        <v>444518</v>
      </c>
      <c r="C263" t="s">
        <v>1</v>
      </c>
      <c r="D263">
        <v>2541</v>
      </c>
      <c r="E263" s="1">
        <v>44044</v>
      </c>
      <c r="F263">
        <v>7623</v>
      </c>
      <c r="G263">
        <v>3176.25</v>
      </c>
      <c r="H263">
        <f t="shared" si="16"/>
        <v>3</v>
      </c>
      <c r="I263">
        <f t="shared" si="17"/>
        <v>1.25</v>
      </c>
      <c r="J263" s="35">
        <f t="shared" si="18"/>
        <v>1.75</v>
      </c>
      <c r="K263">
        <f t="shared" si="19"/>
        <v>4446.75</v>
      </c>
    </row>
    <row r="264" spans="1:11" x14ac:dyDescent="0.25">
      <c r="A264">
        <v>3</v>
      </c>
      <c r="B264">
        <v>447945</v>
      </c>
      <c r="C264" t="s">
        <v>5</v>
      </c>
      <c r="D264">
        <v>1269</v>
      </c>
      <c r="E264" s="1">
        <v>44105</v>
      </c>
      <c r="F264">
        <v>7614</v>
      </c>
      <c r="G264">
        <v>3489.75</v>
      </c>
      <c r="H264">
        <f t="shared" si="16"/>
        <v>6</v>
      </c>
      <c r="I264">
        <f t="shared" si="17"/>
        <v>2.75</v>
      </c>
      <c r="J264" s="35">
        <f t="shared" si="18"/>
        <v>3.25</v>
      </c>
      <c r="K264">
        <f t="shared" si="19"/>
        <v>4124.25</v>
      </c>
    </row>
    <row r="265" spans="1:11" x14ac:dyDescent="0.25">
      <c r="A265">
        <v>5</v>
      </c>
      <c r="B265">
        <v>872307</v>
      </c>
      <c r="C265" t="s">
        <v>4</v>
      </c>
      <c r="D265">
        <v>1520</v>
      </c>
      <c r="E265" s="1">
        <v>44136</v>
      </c>
      <c r="F265">
        <v>7600</v>
      </c>
      <c r="G265">
        <v>3344.0000000000005</v>
      </c>
      <c r="H265">
        <f t="shared" si="16"/>
        <v>5</v>
      </c>
      <c r="I265">
        <f t="shared" si="17"/>
        <v>2.2000000000000002</v>
      </c>
      <c r="J265" s="35">
        <f t="shared" si="18"/>
        <v>2.8</v>
      </c>
      <c r="K265">
        <f t="shared" si="19"/>
        <v>4256</v>
      </c>
    </row>
    <row r="266" spans="1:11" x14ac:dyDescent="0.25">
      <c r="A266">
        <v>2</v>
      </c>
      <c r="B266">
        <v>820943</v>
      </c>
      <c r="C266" t="s">
        <v>1</v>
      </c>
      <c r="D266">
        <v>2529</v>
      </c>
      <c r="E266" s="1">
        <v>44136</v>
      </c>
      <c r="F266">
        <v>7587</v>
      </c>
      <c r="G266">
        <v>3161.25</v>
      </c>
      <c r="H266">
        <f t="shared" si="16"/>
        <v>3</v>
      </c>
      <c r="I266">
        <f t="shared" si="17"/>
        <v>1.25</v>
      </c>
      <c r="J266" s="35">
        <f t="shared" si="18"/>
        <v>1.75</v>
      </c>
      <c r="K266">
        <f t="shared" si="19"/>
        <v>4425.75</v>
      </c>
    </row>
    <row r="267" spans="1:11" x14ac:dyDescent="0.25">
      <c r="A267">
        <v>3</v>
      </c>
      <c r="B267">
        <v>636371</v>
      </c>
      <c r="C267" t="s">
        <v>5</v>
      </c>
      <c r="D267">
        <v>1262</v>
      </c>
      <c r="E267" s="1">
        <v>43952</v>
      </c>
      <c r="F267">
        <v>7572</v>
      </c>
      <c r="G267">
        <v>3470.5</v>
      </c>
      <c r="H267">
        <f t="shared" si="16"/>
        <v>6</v>
      </c>
      <c r="I267">
        <f t="shared" si="17"/>
        <v>2.75</v>
      </c>
      <c r="J267" s="35">
        <f t="shared" si="18"/>
        <v>3.25</v>
      </c>
      <c r="K267">
        <f t="shared" si="19"/>
        <v>4101.5</v>
      </c>
    </row>
    <row r="268" spans="1:11" x14ac:dyDescent="0.25">
      <c r="A268">
        <v>3</v>
      </c>
      <c r="B268">
        <v>538134</v>
      </c>
      <c r="C268" t="s">
        <v>3</v>
      </c>
      <c r="D268">
        <v>1514</v>
      </c>
      <c r="E268" s="1">
        <v>43739</v>
      </c>
      <c r="F268">
        <v>7570</v>
      </c>
      <c r="G268">
        <v>3028</v>
      </c>
      <c r="H268">
        <f t="shared" si="16"/>
        <v>5</v>
      </c>
      <c r="I268">
        <f t="shared" si="17"/>
        <v>2</v>
      </c>
      <c r="J268" s="35">
        <f t="shared" si="18"/>
        <v>3</v>
      </c>
      <c r="K268">
        <f t="shared" si="19"/>
        <v>4542</v>
      </c>
    </row>
    <row r="269" spans="1:11" x14ac:dyDescent="0.25">
      <c r="A269">
        <v>3</v>
      </c>
      <c r="B269">
        <v>562219</v>
      </c>
      <c r="C269" t="s">
        <v>3</v>
      </c>
      <c r="D269">
        <v>1514</v>
      </c>
      <c r="E269" s="1">
        <v>43862</v>
      </c>
      <c r="F269">
        <v>7570</v>
      </c>
      <c r="G269">
        <v>3028</v>
      </c>
      <c r="H269">
        <f t="shared" si="16"/>
        <v>5</v>
      </c>
      <c r="I269">
        <f t="shared" si="17"/>
        <v>2</v>
      </c>
      <c r="J269" s="35">
        <f t="shared" si="18"/>
        <v>3</v>
      </c>
      <c r="K269">
        <f t="shared" si="19"/>
        <v>4542</v>
      </c>
    </row>
    <row r="270" spans="1:11" x14ac:dyDescent="0.25">
      <c r="A270">
        <v>3</v>
      </c>
      <c r="B270">
        <v>183251</v>
      </c>
      <c r="C270" t="s">
        <v>3</v>
      </c>
      <c r="D270">
        <v>1513</v>
      </c>
      <c r="E270" s="1">
        <v>44166</v>
      </c>
      <c r="F270">
        <v>7565</v>
      </c>
      <c r="G270">
        <v>3026</v>
      </c>
      <c r="H270">
        <f t="shared" si="16"/>
        <v>5</v>
      </c>
      <c r="I270">
        <f t="shared" si="17"/>
        <v>2</v>
      </c>
      <c r="J270" s="35">
        <f t="shared" si="18"/>
        <v>3</v>
      </c>
      <c r="K270">
        <f t="shared" si="19"/>
        <v>4539</v>
      </c>
    </row>
    <row r="271" spans="1:11" x14ac:dyDescent="0.25">
      <c r="A271">
        <v>1</v>
      </c>
      <c r="B271">
        <v>572044</v>
      </c>
      <c r="C271" t="s">
        <v>2</v>
      </c>
      <c r="D271">
        <v>1884</v>
      </c>
      <c r="E271" s="1">
        <v>44044</v>
      </c>
      <c r="F271">
        <v>7536</v>
      </c>
      <c r="G271">
        <v>2826</v>
      </c>
      <c r="H271">
        <f t="shared" si="16"/>
        <v>4</v>
      </c>
      <c r="I271">
        <f t="shared" si="17"/>
        <v>1.5</v>
      </c>
      <c r="J271" s="35">
        <f t="shared" si="18"/>
        <v>2.5</v>
      </c>
      <c r="K271">
        <f t="shared" si="19"/>
        <v>4710</v>
      </c>
    </row>
    <row r="272" spans="1:11" x14ac:dyDescent="0.25">
      <c r="A272">
        <v>2</v>
      </c>
      <c r="B272">
        <v>553803</v>
      </c>
      <c r="C272" t="s">
        <v>5</v>
      </c>
      <c r="D272">
        <v>1250</v>
      </c>
      <c r="E272" s="1">
        <v>44166</v>
      </c>
      <c r="F272">
        <v>7500</v>
      </c>
      <c r="G272">
        <v>3437.5</v>
      </c>
      <c r="H272">
        <f t="shared" si="16"/>
        <v>6</v>
      </c>
      <c r="I272">
        <f t="shared" si="17"/>
        <v>2.75</v>
      </c>
      <c r="J272" s="35">
        <f t="shared" si="18"/>
        <v>3.25</v>
      </c>
      <c r="K272">
        <f t="shared" si="19"/>
        <v>4062.5</v>
      </c>
    </row>
    <row r="273" spans="1:11" x14ac:dyDescent="0.25">
      <c r="A273">
        <v>3</v>
      </c>
      <c r="B273">
        <v>568366</v>
      </c>
      <c r="C273" t="s">
        <v>3</v>
      </c>
      <c r="D273">
        <v>1496</v>
      </c>
      <c r="E273" s="1">
        <v>43983</v>
      </c>
      <c r="F273">
        <v>7480</v>
      </c>
      <c r="G273">
        <v>2992</v>
      </c>
      <c r="H273">
        <f t="shared" si="16"/>
        <v>5</v>
      </c>
      <c r="I273">
        <f t="shared" si="17"/>
        <v>2</v>
      </c>
      <c r="J273" s="35">
        <f t="shared" si="18"/>
        <v>3</v>
      </c>
      <c r="K273">
        <f t="shared" si="19"/>
        <v>4488</v>
      </c>
    </row>
    <row r="274" spans="1:11" x14ac:dyDescent="0.25">
      <c r="A274">
        <v>5</v>
      </c>
      <c r="B274">
        <v>792599</v>
      </c>
      <c r="C274" t="s">
        <v>1</v>
      </c>
      <c r="D274">
        <v>2487</v>
      </c>
      <c r="E274" s="1">
        <v>44166</v>
      </c>
      <c r="F274">
        <v>7461</v>
      </c>
      <c r="G274">
        <v>3108.75</v>
      </c>
      <c r="H274">
        <f t="shared" si="16"/>
        <v>3</v>
      </c>
      <c r="I274">
        <f t="shared" si="17"/>
        <v>1.25</v>
      </c>
      <c r="J274" s="35">
        <f t="shared" si="18"/>
        <v>1.75</v>
      </c>
      <c r="K274">
        <f t="shared" si="19"/>
        <v>4352.25</v>
      </c>
    </row>
    <row r="275" spans="1:11" x14ac:dyDescent="0.25">
      <c r="A275">
        <v>3</v>
      </c>
      <c r="B275">
        <v>449939</v>
      </c>
      <c r="C275" t="s">
        <v>2</v>
      </c>
      <c r="D275">
        <v>1865</v>
      </c>
      <c r="E275" s="1">
        <v>43862</v>
      </c>
      <c r="F275">
        <v>7460</v>
      </c>
      <c r="G275">
        <v>2797.5</v>
      </c>
      <c r="H275">
        <f t="shared" si="16"/>
        <v>4</v>
      </c>
      <c r="I275">
        <f t="shared" si="17"/>
        <v>1.5</v>
      </c>
      <c r="J275" s="35">
        <f t="shared" si="18"/>
        <v>2.5</v>
      </c>
      <c r="K275">
        <f t="shared" si="19"/>
        <v>4662.5</v>
      </c>
    </row>
    <row r="276" spans="1:11" x14ac:dyDescent="0.25">
      <c r="A276">
        <v>2</v>
      </c>
      <c r="B276">
        <v>444395</v>
      </c>
      <c r="C276" t="s">
        <v>1</v>
      </c>
      <c r="D276">
        <v>2479</v>
      </c>
      <c r="E276" s="1">
        <v>43831</v>
      </c>
      <c r="F276">
        <v>7437</v>
      </c>
      <c r="G276">
        <v>3098.75</v>
      </c>
      <c r="H276">
        <f t="shared" si="16"/>
        <v>3</v>
      </c>
      <c r="I276">
        <f t="shared" si="17"/>
        <v>1.25</v>
      </c>
      <c r="J276" s="35">
        <f t="shared" si="18"/>
        <v>1.75</v>
      </c>
      <c r="K276">
        <f t="shared" si="19"/>
        <v>4338.25</v>
      </c>
    </row>
    <row r="277" spans="1:11" x14ac:dyDescent="0.25">
      <c r="A277">
        <v>3</v>
      </c>
      <c r="B277">
        <v>161388</v>
      </c>
      <c r="C277" t="s">
        <v>2</v>
      </c>
      <c r="D277">
        <v>1858</v>
      </c>
      <c r="E277" s="1">
        <v>43862</v>
      </c>
      <c r="F277">
        <v>7432</v>
      </c>
      <c r="G277">
        <v>2787</v>
      </c>
      <c r="H277">
        <f t="shared" si="16"/>
        <v>4</v>
      </c>
      <c r="I277">
        <f t="shared" si="17"/>
        <v>1.5</v>
      </c>
      <c r="J277" s="35">
        <f t="shared" si="18"/>
        <v>2.5</v>
      </c>
      <c r="K277">
        <f t="shared" si="19"/>
        <v>4645</v>
      </c>
    </row>
    <row r="278" spans="1:11" x14ac:dyDescent="0.25">
      <c r="A278">
        <v>4</v>
      </c>
      <c r="B278">
        <v>119027</v>
      </c>
      <c r="C278" t="s">
        <v>2</v>
      </c>
      <c r="D278">
        <v>1834</v>
      </c>
      <c r="E278" s="1">
        <v>43709</v>
      </c>
      <c r="F278">
        <v>7336</v>
      </c>
      <c r="G278">
        <v>2751</v>
      </c>
      <c r="H278">
        <f t="shared" si="16"/>
        <v>4</v>
      </c>
      <c r="I278">
        <f t="shared" si="17"/>
        <v>1.5</v>
      </c>
      <c r="J278" s="35">
        <f t="shared" si="18"/>
        <v>2.5</v>
      </c>
      <c r="K278">
        <f t="shared" si="19"/>
        <v>4585</v>
      </c>
    </row>
    <row r="279" spans="1:11" x14ac:dyDescent="0.25">
      <c r="A279">
        <v>3</v>
      </c>
      <c r="B279">
        <v>669715</v>
      </c>
      <c r="C279" t="s">
        <v>5</v>
      </c>
      <c r="D279">
        <v>1221</v>
      </c>
      <c r="E279" s="1">
        <v>43739</v>
      </c>
      <c r="F279">
        <v>7326</v>
      </c>
      <c r="G279">
        <v>3357.75</v>
      </c>
      <c r="H279">
        <f t="shared" si="16"/>
        <v>6</v>
      </c>
      <c r="I279">
        <f t="shared" si="17"/>
        <v>2.75</v>
      </c>
      <c r="J279" s="35">
        <f t="shared" si="18"/>
        <v>3.25</v>
      </c>
      <c r="K279">
        <f t="shared" si="19"/>
        <v>3968.25</v>
      </c>
    </row>
    <row r="280" spans="1:11" x14ac:dyDescent="0.25">
      <c r="A280">
        <v>5</v>
      </c>
      <c r="B280">
        <v>562962</v>
      </c>
      <c r="C280" t="s">
        <v>1</v>
      </c>
      <c r="D280">
        <v>2436</v>
      </c>
      <c r="E280" s="1">
        <v>43800</v>
      </c>
      <c r="F280">
        <v>7308</v>
      </c>
      <c r="G280">
        <v>3045</v>
      </c>
      <c r="H280">
        <f t="shared" si="16"/>
        <v>3</v>
      </c>
      <c r="I280">
        <f t="shared" si="17"/>
        <v>1.25</v>
      </c>
      <c r="J280" s="35">
        <f t="shared" si="18"/>
        <v>1.75</v>
      </c>
      <c r="K280">
        <f t="shared" si="19"/>
        <v>4263</v>
      </c>
    </row>
    <row r="281" spans="1:11" x14ac:dyDescent="0.25">
      <c r="A281">
        <v>3</v>
      </c>
      <c r="B281">
        <v>710711</v>
      </c>
      <c r="C281" t="s">
        <v>3</v>
      </c>
      <c r="D281">
        <v>1438.5</v>
      </c>
      <c r="E281" s="1">
        <v>43831</v>
      </c>
      <c r="F281">
        <v>7192.5</v>
      </c>
      <c r="G281">
        <v>2877</v>
      </c>
      <c r="H281">
        <f t="shared" si="16"/>
        <v>5</v>
      </c>
      <c r="I281">
        <f t="shared" si="17"/>
        <v>2</v>
      </c>
      <c r="J281" s="35">
        <f t="shared" si="18"/>
        <v>3</v>
      </c>
      <c r="K281">
        <f t="shared" si="19"/>
        <v>4315.5</v>
      </c>
    </row>
    <row r="282" spans="1:11" x14ac:dyDescent="0.25">
      <c r="A282">
        <v>3</v>
      </c>
      <c r="B282">
        <v>821698</v>
      </c>
      <c r="C282" t="s">
        <v>4</v>
      </c>
      <c r="D282">
        <v>1433</v>
      </c>
      <c r="E282" s="1">
        <v>43952</v>
      </c>
      <c r="F282">
        <v>7165</v>
      </c>
      <c r="G282">
        <v>3152.6000000000004</v>
      </c>
      <c r="H282">
        <f t="shared" si="16"/>
        <v>5</v>
      </c>
      <c r="I282">
        <f t="shared" si="17"/>
        <v>2.2000000000000002</v>
      </c>
      <c r="J282" s="35">
        <f t="shared" si="18"/>
        <v>2.8</v>
      </c>
      <c r="K282">
        <f t="shared" si="19"/>
        <v>4012.3999999999996</v>
      </c>
    </row>
    <row r="283" spans="1:11" x14ac:dyDescent="0.25">
      <c r="A283">
        <v>2</v>
      </c>
      <c r="B283">
        <v>601126</v>
      </c>
      <c r="C283" t="s">
        <v>1</v>
      </c>
      <c r="D283">
        <v>2387</v>
      </c>
      <c r="E283" s="1">
        <v>44136</v>
      </c>
      <c r="F283">
        <v>7161</v>
      </c>
      <c r="G283">
        <v>2983.75</v>
      </c>
      <c r="H283">
        <f t="shared" si="16"/>
        <v>3</v>
      </c>
      <c r="I283">
        <f t="shared" si="17"/>
        <v>1.25</v>
      </c>
      <c r="J283" s="35">
        <f t="shared" si="18"/>
        <v>1.75</v>
      </c>
      <c r="K283">
        <f t="shared" si="19"/>
        <v>4177.25</v>
      </c>
    </row>
    <row r="284" spans="1:11" x14ac:dyDescent="0.25">
      <c r="A284">
        <v>3</v>
      </c>
      <c r="B284">
        <v>317699</v>
      </c>
      <c r="C284" t="s">
        <v>2</v>
      </c>
      <c r="D284">
        <v>1790</v>
      </c>
      <c r="E284" s="1">
        <v>43891</v>
      </c>
      <c r="F284">
        <v>7160</v>
      </c>
      <c r="G284">
        <v>2685</v>
      </c>
      <c r="H284">
        <f t="shared" si="16"/>
        <v>4</v>
      </c>
      <c r="I284">
        <f t="shared" si="17"/>
        <v>1.5</v>
      </c>
      <c r="J284" s="35">
        <f t="shared" si="18"/>
        <v>2.5</v>
      </c>
      <c r="K284">
        <f t="shared" si="19"/>
        <v>4475</v>
      </c>
    </row>
    <row r="285" spans="1:11" x14ac:dyDescent="0.25">
      <c r="A285">
        <v>3</v>
      </c>
      <c r="B285">
        <v>168032</v>
      </c>
      <c r="C285" t="s">
        <v>5</v>
      </c>
      <c r="D285">
        <v>1190</v>
      </c>
      <c r="E285" s="1">
        <v>43983</v>
      </c>
      <c r="F285">
        <v>7140</v>
      </c>
      <c r="G285">
        <v>3272.5</v>
      </c>
      <c r="H285">
        <f t="shared" si="16"/>
        <v>6</v>
      </c>
      <c r="I285">
        <f t="shared" si="17"/>
        <v>2.75</v>
      </c>
      <c r="J285" s="35">
        <f t="shared" si="18"/>
        <v>3.25</v>
      </c>
      <c r="K285">
        <f t="shared" si="19"/>
        <v>3867.5</v>
      </c>
    </row>
    <row r="286" spans="1:11" x14ac:dyDescent="0.25">
      <c r="A286">
        <v>4</v>
      </c>
      <c r="B286">
        <v>595670</v>
      </c>
      <c r="C286" t="s">
        <v>3</v>
      </c>
      <c r="D286">
        <v>1414.5</v>
      </c>
      <c r="E286" s="1">
        <v>43922</v>
      </c>
      <c r="F286">
        <v>7072.5</v>
      </c>
      <c r="G286">
        <v>2829</v>
      </c>
      <c r="H286">
        <f t="shared" si="16"/>
        <v>5</v>
      </c>
      <c r="I286">
        <f t="shared" si="17"/>
        <v>2</v>
      </c>
      <c r="J286" s="35">
        <f t="shared" si="18"/>
        <v>3</v>
      </c>
      <c r="K286">
        <f t="shared" si="19"/>
        <v>4243.5</v>
      </c>
    </row>
    <row r="287" spans="1:11" x14ac:dyDescent="0.25">
      <c r="A287">
        <v>1</v>
      </c>
      <c r="B287">
        <v>345233</v>
      </c>
      <c r="C287" t="s">
        <v>2</v>
      </c>
      <c r="D287">
        <v>1761</v>
      </c>
      <c r="E287" s="1">
        <v>43891</v>
      </c>
      <c r="F287">
        <v>7044</v>
      </c>
      <c r="G287">
        <v>2641.5</v>
      </c>
      <c r="H287">
        <f t="shared" si="16"/>
        <v>4</v>
      </c>
      <c r="I287">
        <f t="shared" si="17"/>
        <v>1.5</v>
      </c>
      <c r="J287" s="35">
        <f t="shared" si="18"/>
        <v>2.5</v>
      </c>
      <c r="K287">
        <f t="shared" si="19"/>
        <v>4402.5</v>
      </c>
    </row>
    <row r="288" spans="1:11" x14ac:dyDescent="0.25">
      <c r="A288">
        <v>3</v>
      </c>
      <c r="B288">
        <v>521535</v>
      </c>
      <c r="C288" t="s">
        <v>3</v>
      </c>
      <c r="D288">
        <v>1404</v>
      </c>
      <c r="E288" s="1">
        <v>43770</v>
      </c>
      <c r="F288">
        <v>7020</v>
      </c>
      <c r="G288">
        <v>2808</v>
      </c>
      <c r="H288">
        <f t="shared" si="16"/>
        <v>5</v>
      </c>
      <c r="I288">
        <f t="shared" si="17"/>
        <v>2</v>
      </c>
      <c r="J288" s="35">
        <f t="shared" si="18"/>
        <v>3</v>
      </c>
      <c r="K288">
        <f t="shared" si="19"/>
        <v>4212</v>
      </c>
    </row>
    <row r="289" spans="1:11" x14ac:dyDescent="0.25">
      <c r="A289">
        <v>3</v>
      </c>
      <c r="B289">
        <v>504962</v>
      </c>
      <c r="C289" t="s">
        <v>4</v>
      </c>
      <c r="D289">
        <v>1403</v>
      </c>
      <c r="E289" s="1">
        <v>43739</v>
      </c>
      <c r="F289">
        <v>7015</v>
      </c>
      <c r="G289">
        <v>3086.6000000000004</v>
      </c>
      <c r="H289">
        <f t="shared" si="16"/>
        <v>5</v>
      </c>
      <c r="I289">
        <f t="shared" si="17"/>
        <v>2.2000000000000002</v>
      </c>
      <c r="J289" s="35">
        <f t="shared" si="18"/>
        <v>2.8</v>
      </c>
      <c r="K289">
        <f t="shared" si="19"/>
        <v>3928.3999999999996</v>
      </c>
    </row>
    <row r="290" spans="1:11" x14ac:dyDescent="0.25">
      <c r="A290">
        <v>3</v>
      </c>
      <c r="B290">
        <v>406234</v>
      </c>
      <c r="C290" t="s">
        <v>1</v>
      </c>
      <c r="D290">
        <v>2338</v>
      </c>
      <c r="E290" s="1">
        <v>43983</v>
      </c>
      <c r="F290">
        <v>7014</v>
      </c>
      <c r="G290">
        <v>2922.5</v>
      </c>
      <c r="H290">
        <f t="shared" si="16"/>
        <v>3</v>
      </c>
      <c r="I290">
        <f t="shared" si="17"/>
        <v>1.25</v>
      </c>
      <c r="J290" s="35">
        <f t="shared" si="18"/>
        <v>1.75</v>
      </c>
      <c r="K290">
        <f t="shared" si="19"/>
        <v>4091.5</v>
      </c>
    </row>
    <row r="291" spans="1:11" x14ac:dyDescent="0.25">
      <c r="A291">
        <v>3</v>
      </c>
      <c r="B291">
        <v>759484</v>
      </c>
      <c r="C291" t="s">
        <v>2</v>
      </c>
      <c r="D291">
        <v>1743</v>
      </c>
      <c r="E291" s="1">
        <v>43952</v>
      </c>
      <c r="F291">
        <v>6972</v>
      </c>
      <c r="G291">
        <v>2614.5</v>
      </c>
      <c r="H291">
        <f t="shared" si="16"/>
        <v>4</v>
      </c>
      <c r="I291">
        <f t="shared" si="17"/>
        <v>1.5</v>
      </c>
      <c r="J291" s="35">
        <f t="shared" si="18"/>
        <v>2.5</v>
      </c>
      <c r="K291">
        <f t="shared" si="19"/>
        <v>4357.5</v>
      </c>
    </row>
    <row r="292" spans="1:11" x14ac:dyDescent="0.25">
      <c r="A292">
        <v>2</v>
      </c>
      <c r="B292">
        <v>158597</v>
      </c>
      <c r="C292" t="s">
        <v>3</v>
      </c>
      <c r="D292">
        <v>1393</v>
      </c>
      <c r="E292" s="1">
        <v>44105</v>
      </c>
      <c r="F292">
        <v>6965</v>
      </c>
      <c r="G292">
        <v>2786</v>
      </c>
      <c r="H292">
        <f t="shared" si="16"/>
        <v>5</v>
      </c>
      <c r="I292">
        <f t="shared" si="17"/>
        <v>2</v>
      </c>
      <c r="J292" s="35">
        <f t="shared" si="18"/>
        <v>3</v>
      </c>
      <c r="K292">
        <f t="shared" si="19"/>
        <v>4179</v>
      </c>
    </row>
    <row r="293" spans="1:11" x14ac:dyDescent="0.25">
      <c r="A293">
        <v>3</v>
      </c>
      <c r="B293">
        <v>540063</v>
      </c>
      <c r="C293" t="s">
        <v>4</v>
      </c>
      <c r="D293">
        <v>1393</v>
      </c>
      <c r="E293" s="1">
        <v>44105</v>
      </c>
      <c r="F293">
        <v>6965</v>
      </c>
      <c r="G293">
        <v>3064.6000000000004</v>
      </c>
      <c r="H293">
        <f t="shared" si="16"/>
        <v>5</v>
      </c>
      <c r="I293">
        <f t="shared" si="17"/>
        <v>2.2000000000000002</v>
      </c>
      <c r="J293" s="35">
        <f t="shared" si="18"/>
        <v>2.8</v>
      </c>
      <c r="K293">
        <f t="shared" si="19"/>
        <v>3900.3999999999996</v>
      </c>
    </row>
    <row r="294" spans="1:11" x14ac:dyDescent="0.25">
      <c r="A294">
        <v>3</v>
      </c>
      <c r="B294">
        <v>691331</v>
      </c>
      <c r="C294" t="s">
        <v>3</v>
      </c>
      <c r="D294">
        <v>1389</v>
      </c>
      <c r="E294" s="1">
        <v>43739</v>
      </c>
      <c r="F294">
        <v>6945</v>
      </c>
      <c r="G294">
        <v>2778</v>
      </c>
      <c r="H294">
        <f t="shared" si="16"/>
        <v>5</v>
      </c>
      <c r="I294">
        <f t="shared" si="17"/>
        <v>2</v>
      </c>
      <c r="J294" s="35">
        <f t="shared" si="18"/>
        <v>3</v>
      </c>
      <c r="K294">
        <f t="shared" si="19"/>
        <v>4167</v>
      </c>
    </row>
    <row r="295" spans="1:11" x14ac:dyDescent="0.25">
      <c r="A295">
        <v>1</v>
      </c>
      <c r="B295">
        <v>872775</v>
      </c>
      <c r="C295" t="s">
        <v>1</v>
      </c>
      <c r="D295">
        <v>2297</v>
      </c>
      <c r="E295" s="1">
        <v>43770</v>
      </c>
      <c r="F295">
        <v>6891</v>
      </c>
      <c r="G295">
        <v>2871.25</v>
      </c>
      <c r="H295">
        <f t="shared" si="16"/>
        <v>3</v>
      </c>
      <c r="I295">
        <f t="shared" si="17"/>
        <v>1.25</v>
      </c>
      <c r="J295" s="35">
        <f t="shared" si="18"/>
        <v>1.75</v>
      </c>
      <c r="K295">
        <f t="shared" si="19"/>
        <v>4019.75</v>
      </c>
    </row>
    <row r="296" spans="1:11" x14ac:dyDescent="0.25">
      <c r="A296">
        <v>2</v>
      </c>
      <c r="B296">
        <v>540189</v>
      </c>
      <c r="C296" t="s">
        <v>1</v>
      </c>
      <c r="D296">
        <v>2294</v>
      </c>
      <c r="E296" s="1">
        <v>43739</v>
      </c>
      <c r="F296">
        <v>6882</v>
      </c>
      <c r="G296">
        <v>2867.5</v>
      </c>
      <c r="H296">
        <f t="shared" si="16"/>
        <v>3</v>
      </c>
      <c r="I296">
        <f t="shared" si="17"/>
        <v>1.25</v>
      </c>
      <c r="J296" s="35">
        <f t="shared" si="18"/>
        <v>1.75</v>
      </c>
      <c r="K296">
        <f t="shared" si="19"/>
        <v>4014.5</v>
      </c>
    </row>
    <row r="297" spans="1:11" x14ac:dyDescent="0.25">
      <c r="A297">
        <v>4</v>
      </c>
      <c r="B297">
        <v>545954</v>
      </c>
      <c r="C297" t="s">
        <v>4</v>
      </c>
      <c r="D297">
        <v>1375</v>
      </c>
      <c r="E297" s="1">
        <v>43800</v>
      </c>
      <c r="F297">
        <v>6875</v>
      </c>
      <c r="G297">
        <v>3025.0000000000005</v>
      </c>
      <c r="H297">
        <f t="shared" si="16"/>
        <v>5</v>
      </c>
      <c r="I297">
        <f t="shared" si="17"/>
        <v>2.2000000000000002</v>
      </c>
      <c r="J297" s="35">
        <f t="shared" si="18"/>
        <v>2.8</v>
      </c>
      <c r="K297">
        <f t="shared" si="19"/>
        <v>3849.9999999999995</v>
      </c>
    </row>
    <row r="298" spans="1:11" x14ac:dyDescent="0.25">
      <c r="A298">
        <v>1</v>
      </c>
      <c r="B298">
        <v>631270</v>
      </c>
      <c r="C298" t="s">
        <v>3</v>
      </c>
      <c r="D298">
        <v>1372</v>
      </c>
      <c r="E298" s="1">
        <v>43831</v>
      </c>
      <c r="F298">
        <v>6860</v>
      </c>
      <c r="G298">
        <v>2744</v>
      </c>
      <c r="H298">
        <f t="shared" si="16"/>
        <v>5</v>
      </c>
      <c r="I298">
        <f t="shared" si="17"/>
        <v>2</v>
      </c>
      <c r="J298" s="35">
        <f t="shared" si="18"/>
        <v>3</v>
      </c>
      <c r="K298">
        <f t="shared" si="19"/>
        <v>4116</v>
      </c>
    </row>
    <row r="299" spans="1:11" x14ac:dyDescent="0.25">
      <c r="A299">
        <v>5</v>
      </c>
      <c r="B299">
        <v>560670</v>
      </c>
      <c r="C299" t="s">
        <v>4</v>
      </c>
      <c r="D299">
        <v>1372</v>
      </c>
      <c r="E299" s="1">
        <v>44166</v>
      </c>
      <c r="F299">
        <v>6860</v>
      </c>
      <c r="G299">
        <v>3018.4</v>
      </c>
      <c r="H299">
        <f t="shared" si="16"/>
        <v>5</v>
      </c>
      <c r="I299">
        <f t="shared" si="17"/>
        <v>2.2000000000000002</v>
      </c>
      <c r="J299" s="35">
        <f t="shared" si="18"/>
        <v>2.8</v>
      </c>
      <c r="K299">
        <f t="shared" si="19"/>
        <v>3841.6</v>
      </c>
    </row>
    <row r="300" spans="1:11" x14ac:dyDescent="0.25">
      <c r="A300">
        <v>4</v>
      </c>
      <c r="B300">
        <v>713958</v>
      </c>
      <c r="C300" t="s">
        <v>3</v>
      </c>
      <c r="D300">
        <v>1369.5</v>
      </c>
      <c r="E300" s="1">
        <v>44013</v>
      </c>
      <c r="F300">
        <v>6847.5</v>
      </c>
      <c r="G300">
        <v>2739</v>
      </c>
      <c r="H300">
        <f t="shared" si="16"/>
        <v>5</v>
      </c>
      <c r="I300">
        <f t="shared" si="17"/>
        <v>2</v>
      </c>
      <c r="J300" s="35">
        <f t="shared" si="18"/>
        <v>3</v>
      </c>
      <c r="K300">
        <f t="shared" si="19"/>
        <v>4108.5</v>
      </c>
    </row>
    <row r="301" spans="1:11" x14ac:dyDescent="0.25">
      <c r="A301">
        <v>3</v>
      </c>
      <c r="B301">
        <v>418690</v>
      </c>
      <c r="C301" t="s">
        <v>3</v>
      </c>
      <c r="D301">
        <v>1366</v>
      </c>
      <c r="E301" s="1">
        <v>43983</v>
      </c>
      <c r="F301">
        <v>6830</v>
      </c>
      <c r="G301">
        <v>2732</v>
      </c>
      <c r="H301">
        <f t="shared" si="16"/>
        <v>5</v>
      </c>
      <c r="I301">
        <f t="shared" si="17"/>
        <v>2</v>
      </c>
      <c r="J301" s="35">
        <f t="shared" si="18"/>
        <v>3</v>
      </c>
      <c r="K301">
        <f t="shared" si="19"/>
        <v>4098</v>
      </c>
    </row>
    <row r="302" spans="1:11" x14ac:dyDescent="0.25">
      <c r="A302">
        <v>3</v>
      </c>
      <c r="B302">
        <v>277131</v>
      </c>
      <c r="C302" t="s">
        <v>4</v>
      </c>
      <c r="D302">
        <v>1366</v>
      </c>
      <c r="E302" s="1">
        <v>43983</v>
      </c>
      <c r="F302">
        <v>6830</v>
      </c>
      <c r="G302">
        <v>3005.2000000000003</v>
      </c>
      <c r="H302">
        <f t="shared" si="16"/>
        <v>5</v>
      </c>
      <c r="I302">
        <f t="shared" si="17"/>
        <v>2.2000000000000002</v>
      </c>
      <c r="J302" s="35">
        <f t="shared" si="18"/>
        <v>2.8</v>
      </c>
      <c r="K302">
        <f t="shared" si="19"/>
        <v>3824.7999999999997</v>
      </c>
    </row>
    <row r="303" spans="1:11" x14ac:dyDescent="0.25">
      <c r="A303">
        <v>3</v>
      </c>
      <c r="B303">
        <v>781275</v>
      </c>
      <c r="C303" t="s">
        <v>3</v>
      </c>
      <c r="D303">
        <v>1366</v>
      </c>
      <c r="E303" s="1">
        <v>44136</v>
      </c>
      <c r="F303">
        <v>6830</v>
      </c>
      <c r="G303">
        <v>2732</v>
      </c>
      <c r="H303">
        <f t="shared" si="16"/>
        <v>5</v>
      </c>
      <c r="I303">
        <f t="shared" si="17"/>
        <v>2</v>
      </c>
      <c r="J303" s="35">
        <f t="shared" si="18"/>
        <v>3</v>
      </c>
      <c r="K303">
        <f t="shared" si="19"/>
        <v>4098</v>
      </c>
    </row>
    <row r="304" spans="1:11" x14ac:dyDescent="0.25">
      <c r="A304">
        <v>3</v>
      </c>
      <c r="B304">
        <v>223911</v>
      </c>
      <c r="C304" t="s">
        <v>5</v>
      </c>
      <c r="D304">
        <v>1135</v>
      </c>
      <c r="E304" s="1">
        <v>43983</v>
      </c>
      <c r="F304">
        <v>6810</v>
      </c>
      <c r="G304">
        <v>3121.25</v>
      </c>
      <c r="H304">
        <f t="shared" si="16"/>
        <v>6</v>
      </c>
      <c r="I304">
        <f t="shared" si="17"/>
        <v>2.75</v>
      </c>
      <c r="J304" s="35">
        <f t="shared" si="18"/>
        <v>3.25</v>
      </c>
      <c r="K304">
        <f t="shared" si="19"/>
        <v>3688.75</v>
      </c>
    </row>
    <row r="305" spans="1:11" x14ac:dyDescent="0.25">
      <c r="A305">
        <v>5</v>
      </c>
      <c r="B305">
        <v>816536</v>
      </c>
      <c r="C305" t="s">
        <v>3</v>
      </c>
      <c r="D305">
        <v>1362</v>
      </c>
      <c r="E305" s="1">
        <v>44166</v>
      </c>
      <c r="F305">
        <v>6810</v>
      </c>
      <c r="G305">
        <v>2724</v>
      </c>
      <c r="H305">
        <f t="shared" si="16"/>
        <v>5</v>
      </c>
      <c r="I305">
        <f t="shared" si="17"/>
        <v>2</v>
      </c>
      <c r="J305" s="35">
        <f t="shared" si="18"/>
        <v>3</v>
      </c>
      <c r="K305">
        <f t="shared" si="19"/>
        <v>4086</v>
      </c>
    </row>
    <row r="306" spans="1:11" x14ac:dyDescent="0.25">
      <c r="A306">
        <v>2</v>
      </c>
      <c r="B306">
        <v>259455</v>
      </c>
      <c r="C306" t="s">
        <v>3</v>
      </c>
      <c r="D306">
        <v>1359</v>
      </c>
      <c r="E306" s="1">
        <v>44136</v>
      </c>
      <c r="F306">
        <v>6795</v>
      </c>
      <c r="G306">
        <v>2718</v>
      </c>
      <c r="H306">
        <f t="shared" si="16"/>
        <v>5</v>
      </c>
      <c r="I306">
        <f t="shared" si="17"/>
        <v>2</v>
      </c>
      <c r="J306" s="35">
        <f t="shared" si="18"/>
        <v>3</v>
      </c>
      <c r="K306">
        <f t="shared" si="19"/>
        <v>4077</v>
      </c>
    </row>
    <row r="307" spans="1:11" x14ac:dyDescent="0.25">
      <c r="A307">
        <v>3</v>
      </c>
      <c r="B307">
        <v>357838</v>
      </c>
      <c r="C307" t="s">
        <v>4</v>
      </c>
      <c r="D307">
        <v>1350</v>
      </c>
      <c r="E307" s="1">
        <v>43862</v>
      </c>
      <c r="F307">
        <v>6750</v>
      </c>
      <c r="G307">
        <v>2970.0000000000005</v>
      </c>
      <c r="H307">
        <f t="shared" si="16"/>
        <v>5</v>
      </c>
      <c r="I307">
        <f t="shared" si="17"/>
        <v>2.2000000000000002</v>
      </c>
      <c r="J307" s="35">
        <f t="shared" si="18"/>
        <v>2.8</v>
      </c>
      <c r="K307">
        <f t="shared" si="19"/>
        <v>3779.9999999999995</v>
      </c>
    </row>
    <row r="308" spans="1:11" x14ac:dyDescent="0.25">
      <c r="A308">
        <v>1</v>
      </c>
      <c r="B308">
        <v>594463</v>
      </c>
      <c r="C308" t="s">
        <v>1</v>
      </c>
      <c r="D308">
        <v>2234</v>
      </c>
      <c r="E308" s="1">
        <v>43709</v>
      </c>
      <c r="F308">
        <v>6702</v>
      </c>
      <c r="G308">
        <v>2792.5</v>
      </c>
      <c r="H308">
        <f t="shared" si="16"/>
        <v>3</v>
      </c>
      <c r="I308">
        <f t="shared" si="17"/>
        <v>1.25</v>
      </c>
      <c r="J308" s="35">
        <f t="shared" si="18"/>
        <v>1.75</v>
      </c>
      <c r="K308">
        <f t="shared" si="19"/>
        <v>3909.5</v>
      </c>
    </row>
    <row r="309" spans="1:11" x14ac:dyDescent="0.25">
      <c r="A309">
        <v>5</v>
      </c>
      <c r="B309">
        <v>899556</v>
      </c>
      <c r="C309" t="s">
        <v>1</v>
      </c>
      <c r="D309">
        <v>2215</v>
      </c>
      <c r="E309" s="1">
        <v>43709</v>
      </c>
      <c r="F309">
        <v>6645</v>
      </c>
      <c r="G309">
        <v>2768.75</v>
      </c>
      <c r="H309">
        <f t="shared" si="16"/>
        <v>3</v>
      </c>
      <c r="I309">
        <f t="shared" si="17"/>
        <v>1.25</v>
      </c>
      <c r="J309" s="35">
        <f t="shared" si="18"/>
        <v>1.75</v>
      </c>
      <c r="K309">
        <f t="shared" si="19"/>
        <v>3876.25</v>
      </c>
    </row>
    <row r="310" spans="1:11" x14ac:dyDescent="0.25">
      <c r="A310">
        <v>2</v>
      </c>
      <c r="B310">
        <v>205484</v>
      </c>
      <c r="C310" t="s">
        <v>3</v>
      </c>
      <c r="D310">
        <v>1324</v>
      </c>
      <c r="E310" s="1">
        <v>44136</v>
      </c>
      <c r="F310">
        <v>6620</v>
      </c>
      <c r="G310">
        <v>2648</v>
      </c>
      <c r="H310">
        <f t="shared" si="16"/>
        <v>5</v>
      </c>
      <c r="I310">
        <f t="shared" si="17"/>
        <v>2</v>
      </c>
      <c r="J310" s="35">
        <f t="shared" si="18"/>
        <v>3</v>
      </c>
      <c r="K310">
        <f t="shared" si="19"/>
        <v>3972</v>
      </c>
    </row>
    <row r="311" spans="1:11" x14ac:dyDescent="0.25">
      <c r="A311">
        <v>2</v>
      </c>
      <c r="B311">
        <v>246621</v>
      </c>
      <c r="C311" t="s">
        <v>1</v>
      </c>
      <c r="D311">
        <v>2178</v>
      </c>
      <c r="E311" s="1">
        <v>43983</v>
      </c>
      <c r="F311">
        <v>6534</v>
      </c>
      <c r="G311">
        <v>2722.5</v>
      </c>
      <c r="H311">
        <f t="shared" si="16"/>
        <v>3</v>
      </c>
      <c r="I311">
        <f t="shared" si="17"/>
        <v>1.25</v>
      </c>
      <c r="J311" s="35">
        <f t="shared" si="18"/>
        <v>1.75</v>
      </c>
      <c r="K311">
        <f t="shared" si="19"/>
        <v>3811.5</v>
      </c>
    </row>
    <row r="312" spans="1:11" x14ac:dyDescent="0.25">
      <c r="A312">
        <v>1</v>
      </c>
      <c r="B312">
        <v>144559</v>
      </c>
      <c r="C312" t="s">
        <v>1</v>
      </c>
      <c r="D312">
        <v>2177</v>
      </c>
      <c r="E312" s="1">
        <v>44105</v>
      </c>
      <c r="F312">
        <v>6531</v>
      </c>
      <c r="G312">
        <v>2721.25</v>
      </c>
      <c r="H312">
        <f t="shared" si="16"/>
        <v>3</v>
      </c>
      <c r="I312">
        <f t="shared" si="17"/>
        <v>1.25</v>
      </c>
      <c r="J312" s="35">
        <f t="shared" si="18"/>
        <v>1.75</v>
      </c>
      <c r="K312">
        <f t="shared" si="19"/>
        <v>3809.75</v>
      </c>
    </row>
    <row r="313" spans="1:11" x14ac:dyDescent="0.25">
      <c r="A313">
        <v>5</v>
      </c>
      <c r="B313">
        <v>833644</v>
      </c>
      <c r="C313" t="s">
        <v>3</v>
      </c>
      <c r="D313">
        <v>1303</v>
      </c>
      <c r="E313" s="1">
        <v>43862</v>
      </c>
      <c r="F313">
        <v>6515</v>
      </c>
      <c r="G313">
        <v>2606</v>
      </c>
      <c r="H313">
        <f t="shared" si="16"/>
        <v>5</v>
      </c>
      <c r="I313">
        <f t="shared" si="17"/>
        <v>2</v>
      </c>
      <c r="J313" s="35">
        <f t="shared" si="18"/>
        <v>3</v>
      </c>
      <c r="K313">
        <f t="shared" si="19"/>
        <v>3909</v>
      </c>
    </row>
    <row r="314" spans="1:11" x14ac:dyDescent="0.25">
      <c r="A314">
        <v>2</v>
      </c>
      <c r="B314">
        <v>765978</v>
      </c>
      <c r="C314" t="s">
        <v>5</v>
      </c>
      <c r="D314">
        <v>1084</v>
      </c>
      <c r="E314" s="1">
        <v>44166</v>
      </c>
      <c r="F314">
        <v>6504</v>
      </c>
      <c r="G314">
        <v>2981</v>
      </c>
      <c r="H314">
        <f t="shared" si="16"/>
        <v>6</v>
      </c>
      <c r="I314">
        <f t="shared" si="17"/>
        <v>2.75</v>
      </c>
      <c r="J314" s="35">
        <f t="shared" si="18"/>
        <v>3.25</v>
      </c>
      <c r="K314">
        <f t="shared" si="19"/>
        <v>3523</v>
      </c>
    </row>
    <row r="315" spans="1:11" x14ac:dyDescent="0.25">
      <c r="A315">
        <v>5</v>
      </c>
      <c r="B315">
        <v>823956</v>
      </c>
      <c r="C315" t="s">
        <v>1</v>
      </c>
      <c r="D315">
        <v>2167</v>
      </c>
      <c r="E315" s="1">
        <v>43739</v>
      </c>
      <c r="F315">
        <v>6501</v>
      </c>
      <c r="G315">
        <v>2708.75</v>
      </c>
      <c r="H315">
        <f t="shared" si="16"/>
        <v>3</v>
      </c>
      <c r="I315">
        <f t="shared" si="17"/>
        <v>1.25</v>
      </c>
      <c r="J315" s="35">
        <f t="shared" si="18"/>
        <v>1.75</v>
      </c>
      <c r="K315">
        <f t="shared" si="19"/>
        <v>3792.25</v>
      </c>
    </row>
    <row r="316" spans="1:11" x14ac:dyDescent="0.25">
      <c r="A316">
        <v>4</v>
      </c>
      <c r="B316">
        <v>776532</v>
      </c>
      <c r="C316" t="s">
        <v>3</v>
      </c>
      <c r="D316">
        <v>1295</v>
      </c>
      <c r="E316" s="1">
        <v>44105</v>
      </c>
      <c r="F316">
        <v>6475</v>
      </c>
      <c r="G316">
        <v>2590</v>
      </c>
      <c r="H316">
        <f t="shared" si="16"/>
        <v>5</v>
      </c>
      <c r="I316">
        <f t="shared" si="17"/>
        <v>2</v>
      </c>
      <c r="J316" s="35">
        <f t="shared" si="18"/>
        <v>3</v>
      </c>
      <c r="K316">
        <f t="shared" si="19"/>
        <v>3885</v>
      </c>
    </row>
    <row r="317" spans="1:11" x14ac:dyDescent="0.25">
      <c r="A317">
        <v>1</v>
      </c>
      <c r="B317">
        <v>194906</v>
      </c>
      <c r="C317" t="s">
        <v>2</v>
      </c>
      <c r="D317">
        <v>1618.5</v>
      </c>
      <c r="E317" s="1">
        <v>43831</v>
      </c>
      <c r="F317">
        <v>6474</v>
      </c>
      <c r="G317">
        <v>2427.75</v>
      </c>
      <c r="H317">
        <f t="shared" si="16"/>
        <v>4</v>
      </c>
      <c r="I317">
        <f t="shared" si="17"/>
        <v>1.5</v>
      </c>
      <c r="J317" s="35">
        <f t="shared" si="18"/>
        <v>2.5</v>
      </c>
      <c r="K317">
        <f t="shared" si="19"/>
        <v>4046.25</v>
      </c>
    </row>
    <row r="318" spans="1:11" x14ac:dyDescent="0.25">
      <c r="A318">
        <v>5</v>
      </c>
      <c r="B318">
        <v>505496</v>
      </c>
      <c r="C318" t="s">
        <v>1</v>
      </c>
      <c r="D318">
        <v>2151</v>
      </c>
      <c r="E318" s="1">
        <v>44075</v>
      </c>
      <c r="F318">
        <v>6453</v>
      </c>
      <c r="G318">
        <v>2688.75</v>
      </c>
      <c r="H318">
        <f t="shared" si="16"/>
        <v>3</v>
      </c>
      <c r="I318">
        <f t="shared" si="17"/>
        <v>1.25</v>
      </c>
      <c r="J318" s="35">
        <f t="shared" si="18"/>
        <v>1.75</v>
      </c>
      <c r="K318">
        <f t="shared" si="19"/>
        <v>3764.25</v>
      </c>
    </row>
    <row r="319" spans="1:11" x14ac:dyDescent="0.25">
      <c r="A319">
        <v>2</v>
      </c>
      <c r="B319">
        <v>455780</v>
      </c>
      <c r="C319" t="s">
        <v>3</v>
      </c>
      <c r="D319">
        <v>1287</v>
      </c>
      <c r="E319" s="1">
        <v>44166</v>
      </c>
      <c r="F319">
        <v>6435</v>
      </c>
      <c r="G319">
        <v>2574</v>
      </c>
      <c r="H319">
        <f t="shared" si="16"/>
        <v>5</v>
      </c>
      <c r="I319">
        <f t="shared" si="17"/>
        <v>2</v>
      </c>
      <c r="J319" s="35">
        <f t="shared" si="18"/>
        <v>3</v>
      </c>
      <c r="K319">
        <f t="shared" si="19"/>
        <v>3861</v>
      </c>
    </row>
    <row r="320" spans="1:11" x14ac:dyDescent="0.25">
      <c r="A320">
        <v>3</v>
      </c>
      <c r="B320">
        <v>786700</v>
      </c>
      <c r="C320" t="s">
        <v>4</v>
      </c>
      <c r="D320">
        <v>1282</v>
      </c>
      <c r="E320" s="1">
        <v>43983</v>
      </c>
      <c r="F320">
        <v>6410</v>
      </c>
      <c r="G320">
        <v>2820.4</v>
      </c>
      <c r="H320">
        <f t="shared" si="16"/>
        <v>5</v>
      </c>
      <c r="I320">
        <f t="shared" si="17"/>
        <v>2.2000000000000002</v>
      </c>
      <c r="J320" s="35">
        <f t="shared" si="18"/>
        <v>2.8</v>
      </c>
      <c r="K320">
        <f t="shared" si="19"/>
        <v>3589.6</v>
      </c>
    </row>
    <row r="321" spans="1:11" x14ac:dyDescent="0.25">
      <c r="A321">
        <v>4</v>
      </c>
      <c r="B321">
        <v>711362</v>
      </c>
      <c r="C321" t="s">
        <v>1</v>
      </c>
      <c r="D321">
        <v>2134</v>
      </c>
      <c r="E321" s="1">
        <v>44075</v>
      </c>
      <c r="F321">
        <v>6402</v>
      </c>
      <c r="G321">
        <v>2667.5</v>
      </c>
      <c r="H321">
        <f t="shared" si="16"/>
        <v>3</v>
      </c>
      <c r="I321">
        <f t="shared" si="17"/>
        <v>1.25</v>
      </c>
      <c r="J321" s="35">
        <f t="shared" si="18"/>
        <v>1.75</v>
      </c>
      <c r="K321">
        <f t="shared" si="19"/>
        <v>3734.5</v>
      </c>
    </row>
    <row r="322" spans="1:11" x14ac:dyDescent="0.25">
      <c r="A322">
        <v>4</v>
      </c>
      <c r="B322">
        <v>131700</v>
      </c>
      <c r="C322" t="s">
        <v>4</v>
      </c>
      <c r="D322">
        <v>1269</v>
      </c>
      <c r="E322" s="1">
        <v>44105</v>
      </c>
      <c r="F322">
        <v>6345</v>
      </c>
      <c r="G322">
        <v>2791.8</v>
      </c>
      <c r="H322">
        <f t="shared" si="16"/>
        <v>5</v>
      </c>
      <c r="I322">
        <f t="shared" si="17"/>
        <v>2.2000000000000002</v>
      </c>
      <c r="J322" s="35">
        <f t="shared" si="18"/>
        <v>2.8</v>
      </c>
      <c r="K322">
        <f t="shared" si="19"/>
        <v>3553.2</v>
      </c>
    </row>
    <row r="323" spans="1:11" x14ac:dyDescent="0.25">
      <c r="A323">
        <v>3</v>
      </c>
      <c r="B323">
        <v>367956</v>
      </c>
      <c r="C323" t="s">
        <v>5</v>
      </c>
      <c r="D323">
        <v>1055</v>
      </c>
      <c r="E323" s="1">
        <v>44166</v>
      </c>
      <c r="F323">
        <v>6330</v>
      </c>
      <c r="G323">
        <v>2901.25</v>
      </c>
      <c r="H323">
        <f t="shared" ref="H323:H386" si="20">F323/D323</f>
        <v>6</v>
      </c>
      <c r="I323">
        <f t="shared" ref="I323:I386" si="21">G323/D323</f>
        <v>2.75</v>
      </c>
      <c r="J323" s="35">
        <f t="shared" ref="J323:J386" si="22">H323-I323</f>
        <v>3.25</v>
      </c>
      <c r="K323">
        <f t="shared" ref="K323:K386" si="23">D323*J323</f>
        <v>3428.75</v>
      </c>
    </row>
    <row r="324" spans="1:11" x14ac:dyDescent="0.25">
      <c r="A324">
        <v>2</v>
      </c>
      <c r="B324">
        <v>644843</v>
      </c>
      <c r="C324" t="s">
        <v>1</v>
      </c>
      <c r="D324">
        <v>2109</v>
      </c>
      <c r="E324" s="1">
        <v>43952</v>
      </c>
      <c r="F324">
        <v>6327</v>
      </c>
      <c r="G324">
        <v>2636.25</v>
      </c>
      <c r="H324">
        <f t="shared" si="20"/>
        <v>3</v>
      </c>
      <c r="I324">
        <f t="shared" si="21"/>
        <v>1.25</v>
      </c>
      <c r="J324" s="35">
        <f t="shared" si="22"/>
        <v>1.75</v>
      </c>
      <c r="K324">
        <f t="shared" si="23"/>
        <v>3690.75</v>
      </c>
    </row>
    <row r="325" spans="1:11" x14ac:dyDescent="0.25">
      <c r="A325">
        <v>2</v>
      </c>
      <c r="B325">
        <v>203224</v>
      </c>
      <c r="C325" t="s">
        <v>2</v>
      </c>
      <c r="D325">
        <v>1580</v>
      </c>
      <c r="E325" s="1">
        <v>44075</v>
      </c>
      <c r="F325">
        <v>6320</v>
      </c>
      <c r="G325">
        <v>2370</v>
      </c>
      <c r="H325">
        <f t="shared" si="20"/>
        <v>4</v>
      </c>
      <c r="I325">
        <f t="shared" si="21"/>
        <v>1.5</v>
      </c>
      <c r="J325" s="35">
        <f t="shared" si="22"/>
        <v>2.5</v>
      </c>
      <c r="K325">
        <f t="shared" si="23"/>
        <v>3950</v>
      </c>
    </row>
    <row r="326" spans="1:11" x14ac:dyDescent="0.25">
      <c r="A326">
        <v>3</v>
      </c>
      <c r="B326">
        <v>428676</v>
      </c>
      <c r="C326" t="s">
        <v>3</v>
      </c>
      <c r="D326">
        <v>1259</v>
      </c>
      <c r="E326" s="1">
        <v>43922</v>
      </c>
      <c r="F326">
        <v>6295</v>
      </c>
      <c r="G326">
        <v>2518</v>
      </c>
      <c r="H326">
        <f t="shared" si="20"/>
        <v>5</v>
      </c>
      <c r="I326">
        <f t="shared" si="21"/>
        <v>2</v>
      </c>
      <c r="J326" s="35">
        <f t="shared" si="22"/>
        <v>3</v>
      </c>
      <c r="K326">
        <f t="shared" si="23"/>
        <v>3777</v>
      </c>
    </row>
    <row r="327" spans="1:11" x14ac:dyDescent="0.25">
      <c r="A327">
        <v>2</v>
      </c>
      <c r="B327">
        <v>295574</v>
      </c>
      <c r="C327" t="s">
        <v>2</v>
      </c>
      <c r="D327">
        <v>1563</v>
      </c>
      <c r="E327" s="1">
        <v>43952</v>
      </c>
      <c r="F327">
        <v>6252</v>
      </c>
      <c r="G327">
        <v>2344.5</v>
      </c>
      <c r="H327">
        <f t="shared" si="20"/>
        <v>4</v>
      </c>
      <c r="I327">
        <f t="shared" si="21"/>
        <v>1.5</v>
      </c>
      <c r="J327" s="35">
        <f t="shared" si="22"/>
        <v>2.5</v>
      </c>
      <c r="K327">
        <f t="shared" si="23"/>
        <v>3907.5</v>
      </c>
    </row>
    <row r="328" spans="1:11" x14ac:dyDescent="0.25">
      <c r="A328">
        <v>2</v>
      </c>
      <c r="B328">
        <v>707082</v>
      </c>
      <c r="C328" t="s">
        <v>4</v>
      </c>
      <c r="D328">
        <v>1250</v>
      </c>
      <c r="E328" s="1">
        <v>44166</v>
      </c>
      <c r="F328">
        <v>6250</v>
      </c>
      <c r="G328">
        <v>2750</v>
      </c>
      <c r="H328">
        <f t="shared" si="20"/>
        <v>5</v>
      </c>
      <c r="I328">
        <f t="shared" si="21"/>
        <v>2.2000000000000002</v>
      </c>
      <c r="J328" s="35">
        <f t="shared" si="22"/>
        <v>2.8</v>
      </c>
      <c r="K328">
        <f t="shared" si="23"/>
        <v>3500</v>
      </c>
    </row>
    <row r="329" spans="1:11" x14ac:dyDescent="0.25">
      <c r="A329">
        <v>3</v>
      </c>
      <c r="B329">
        <v>374010</v>
      </c>
      <c r="C329" t="s">
        <v>3</v>
      </c>
      <c r="D329">
        <v>1249</v>
      </c>
      <c r="E329" s="1">
        <v>44105</v>
      </c>
      <c r="F329">
        <v>6245</v>
      </c>
      <c r="G329">
        <v>2498</v>
      </c>
      <c r="H329">
        <f t="shared" si="20"/>
        <v>5</v>
      </c>
      <c r="I329">
        <f t="shared" si="21"/>
        <v>2</v>
      </c>
      <c r="J329" s="35">
        <f t="shared" si="22"/>
        <v>3</v>
      </c>
      <c r="K329">
        <f t="shared" si="23"/>
        <v>3747</v>
      </c>
    </row>
    <row r="330" spans="1:11" x14ac:dyDescent="0.25">
      <c r="A330">
        <v>3</v>
      </c>
      <c r="B330">
        <v>607051</v>
      </c>
      <c r="C330" t="s">
        <v>2</v>
      </c>
      <c r="D330">
        <v>1560</v>
      </c>
      <c r="E330" s="1">
        <v>43770</v>
      </c>
      <c r="F330">
        <v>6240</v>
      </c>
      <c r="G330">
        <v>2340</v>
      </c>
      <c r="H330">
        <f t="shared" si="20"/>
        <v>4</v>
      </c>
      <c r="I330">
        <f t="shared" si="21"/>
        <v>1.5</v>
      </c>
      <c r="J330" s="35">
        <f t="shared" si="22"/>
        <v>2.5</v>
      </c>
      <c r="K330">
        <f t="shared" si="23"/>
        <v>3900</v>
      </c>
    </row>
    <row r="331" spans="1:11" x14ac:dyDescent="0.25">
      <c r="A331">
        <v>4</v>
      </c>
      <c r="B331">
        <v>234670</v>
      </c>
      <c r="C331" t="s">
        <v>5</v>
      </c>
      <c r="D331">
        <v>1033</v>
      </c>
      <c r="E331" s="1">
        <v>43800</v>
      </c>
      <c r="F331">
        <v>6198</v>
      </c>
      <c r="G331">
        <v>2840.75</v>
      </c>
      <c r="H331">
        <f t="shared" si="20"/>
        <v>6</v>
      </c>
      <c r="I331">
        <f t="shared" si="21"/>
        <v>2.75</v>
      </c>
      <c r="J331" s="35">
        <f t="shared" si="22"/>
        <v>3.25</v>
      </c>
      <c r="K331">
        <f t="shared" si="23"/>
        <v>3357.25</v>
      </c>
    </row>
    <row r="332" spans="1:11" x14ac:dyDescent="0.25">
      <c r="A332">
        <v>2</v>
      </c>
      <c r="B332">
        <v>734809</v>
      </c>
      <c r="C332" t="s">
        <v>4</v>
      </c>
      <c r="D332">
        <v>1236</v>
      </c>
      <c r="E332" s="1">
        <v>44136</v>
      </c>
      <c r="F332">
        <v>6180</v>
      </c>
      <c r="G332">
        <v>2719.2000000000003</v>
      </c>
      <c r="H332">
        <f t="shared" si="20"/>
        <v>5</v>
      </c>
      <c r="I332">
        <f t="shared" si="21"/>
        <v>2.2000000000000002</v>
      </c>
      <c r="J332" s="35">
        <f t="shared" si="22"/>
        <v>2.8</v>
      </c>
      <c r="K332">
        <f t="shared" si="23"/>
        <v>3460.7999999999997</v>
      </c>
    </row>
    <row r="333" spans="1:11" x14ac:dyDescent="0.25">
      <c r="A333">
        <v>5</v>
      </c>
      <c r="B333">
        <v>514463</v>
      </c>
      <c r="C333" t="s">
        <v>3</v>
      </c>
      <c r="D333">
        <v>1233</v>
      </c>
      <c r="E333" s="1">
        <v>44166</v>
      </c>
      <c r="F333">
        <v>6165</v>
      </c>
      <c r="G333">
        <v>2466</v>
      </c>
      <c r="H333">
        <f t="shared" si="20"/>
        <v>5</v>
      </c>
      <c r="I333">
        <f t="shared" si="21"/>
        <v>2</v>
      </c>
      <c r="J333" s="35">
        <f t="shared" si="22"/>
        <v>3</v>
      </c>
      <c r="K333">
        <f t="shared" si="23"/>
        <v>3699</v>
      </c>
    </row>
    <row r="334" spans="1:11" x14ac:dyDescent="0.25">
      <c r="A334">
        <v>4</v>
      </c>
      <c r="B334">
        <v>495847</v>
      </c>
      <c r="C334" t="s">
        <v>2</v>
      </c>
      <c r="D334">
        <v>1540</v>
      </c>
      <c r="E334" s="1">
        <v>44044</v>
      </c>
      <c r="F334">
        <v>6160</v>
      </c>
      <c r="G334">
        <v>2310</v>
      </c>
      <c r="H334">
        <f t="shared" si="20"/>
        <v>4</v>
      </c>
      <c r="I334">
        <f t="shared" si="21"/>
        <v>1.5</v>
      </c>
      <c r="J334" s="35">
        <f t="shared" si="22"/>
        <v>2.5</v>
      </c>
      <c r="K334">
        <f t="shared" si="23"/>
        <v>3850</v>
      </c>
    </row>
    <row r="335" spans="1:11" x14ac:dyDescent="0.25">
      <c r="A335">
        <v>3</v>
      </c>
      <c r="B335">
        <v>697895</v>
      </c>
      <c r="C335" t="s">
        <v>3</v>
      </c>
      <c r="D335">
        <v>1228</v>
      </c>
      <c r="E335" s="1">
        <v>43739</v>
      </c>
      <c r="F335">
        <v>6140</v>
      </c>
      <c r="G335">
        <v>2456</v>
      </c>
      <c r="H335">
        <f t="shared" si="20"/>
        <v>5</v>
      </c>
      <c r="I335">
        <f t="shared" si="21"/>
        <v>2</v>
      </c>
      <c r="J335" s="35">
        <f t="shared" si="22"/>
        <v>3</v>
      </c>
      <c r="K335">
        <f t="shared" si="23"/>
        <v>3684</v>
      </c>
    </row>
    <row r="336" spans="1:11" x14ac:dyDescent="0.25">
      <c r="A336">
        <v>3</v>
      </c>
      <c r="B336">
        <v>117166</v>
      </c>
      <c r="C336" t="s">
        <v>4</v>
      </c>
      <c r="D336">
        <v>1228</v>
      </c>
      <c r="E336" s="1">
        <v>43739</v>
      </c>
      <c r="F336">
        <v>6140</v>
      </c>
      <c r="G336">
        <v>2701.6000000000004</v>
      </c>
      <c r="H336">
        <f t="shared" si="20"/>
        <v>5</v>
      </c>
      <c r="I336">
        <f t="shared" si="21"/>
        <v>2.2000000000000002</v>
      </c>
      <c r="J336" s="35">
        <f t="shared" si="22"/>
        <v>2.8</v>
      </c>
      <c r="K336">
        <f t="shared" si="23"/>
        <v>3438.3999999999996</v>
      </c>
    </row>
    <row r="337" spans="1:11" x14ac:dyDescent="0.25">
      <c r="A337">
        <v>3</v>
      </c>
      <c r="B337">
        <v>171515</v>
      </c>
      <c r="C337" t="s">
        <v>3</v>
      </c>
      <c r="D337">
        <v>1227</v>
      </c>
      <c r="E337" s="1">
        <v>44105</v>
      </c>
      <c r="F337">
        <v>6135</v>
      </c>
      <c r="G337">
        <v>2454</v>
      </c>
      <c r="H337">
        <f t="shared" si="20"/>
        <v>5</v>
      </c>
      <c r="I337">
        <f t="shared" si="21"/>
        <v>2</v>
      </c>
      <c r="J337" s="35">
        <f t="shared" si="22"/>
        <v>3</v>
      </c>
      <c r="K337">
        <f t="shared" si="23"/>
        <v>3681</v>
      </c>
    </row>
    <row r="338" spans="1:11" x14ac:dyDescent="0.25">
      <c r="A338">
        <v>3</v>
      </c>
      <c r="B338">
        <v>758487</v>
      </c>
      <c r="C338" t="s">
        <v>5</v>
      </c>
      <c r="D338">
        <v>1013</v>
      </c>
      <c r="E338" s="1">
        <v>44166</v>
      </c>
      <c r="F338">
        <v>6078</v>
      </c>
      <c r="G338">
        <v>2785.75</v>
      </c>
      <c r="H338">
        <f t="shared" si="20"/>
        <v>6</v>
      </c>
      <c r="I338">
        <f t="shared" si="21"/>
        <v>2.75</v>
      </c>
      <c r="J338" s="35">
        <f t="shared" si="22"/>
        <v>3.25</v>
      </c>
      <c r="K338">
        <f t="shared" si="23"/>
        <v>3292.25</v>
      </c>
    </row>
    <row r="339" spans="1:11" x14ac:dyDescent="0.25">
      <c r="A339">
        <v>3</v>
      </c>
      <c r="B339">
        <v>199710</v>
      </c>
      <c r="C339" t="s">
        <v>2</v>
      </c>
      <c r="D339">
        <v>1513</v>
      </c>
      <c r="E339" s="1">
        <v>44136</v>
      </c>
      <c r="F339">
        <v>6052</v>
      </c>
      <c r="G339">
        <v>2269.5</v>
      </c>
      <c r="H339">
        <f t="shared" si="20"/>
        <v>4</v>
      </c>
      <c r="I339">
        <f t="shared" si="21"/>
        <v>1.5</v>
      </c>
      <c r="J339" s="35">
        <f t="shared" si="22"/>
        <v>2.5</v>
      </c>
      <c r="K339">
        <f t="shared" si="23"/>
        <v>3782.5</v>
      </c>
    </row>
    <row r="340" spans="1:11" x14ac:dyDescent="0.25">
      <c r="A340">
        <v>4</v>
      </c>
      <c r="B340">
        <v>682634</v>
      </c>
      <c r="C340" t="s">
        <v>2</v>
      </c>
      <c r="D340">
        <v>1513</v>
      </c>
      <c r="E340" s="1">
        <v>44166</v>
      </c>
      <c r="F340">
        <v>6052</v>
      </c>
      <c r="G340">
        <v>2269.5</v>
      </c>
      <c r="H340">
        <f t="shared" si="20"/>
        <v>4</v>
      </c>
      <c r="I340">
        <f t="shared" si="21"/>
        <v>1.5</v>
      </c>
      <c r="J340" s="35">
        <f t="shared" si="22"/>
        <v>2.5</v>
      </c>
      <c r="K340">
        <f t="shared" si="23"/>
        <v>3782.5</v>
      </c>
    </row>
    <row r="341" spans="1:11" x14ac:dyDescent="0.25">
      <c r="A341">
        <v>4</v>
      </c>
      <c r="B341">
        <v>552346</v>
      </c>
      <c r="C341" t="s">
        <v>5</v>
      </c>
      <c r="D341">
        <v>1006</v>
      </c>
      <c r="E341" s="1">
        <v>43983</v>
      </c>
      <c r="F341">
        <v>6036</v>
      </c>
      <c r="G341">
        <v>2766.5</v>
      </c>
      <c r="H341">
        <f t="shared" si="20"/>
        <v>6</v>
      </c>
      <c r="I341">
        <f t="shared" si="21"/>
        <v>2.75</v>
      </c>
      <c r="J341" s="35">
        <f t="shared" si="22"/>
        <v>3.25</v>
      </c>
      <c r="K341">
        <f t="shared" si="23"/>
        <v>3269.5</v>
      </c>
    </row>
    <row r="342" spans="1:11" x14ac:dyDescent="0.25">
      <c r="A342">
        <v>5</v>
      </c>
      <c r="B342">
        <v>263637</v>
      </c>
      <c r="C342" t="s">
        <v>5</v>
      </c>
      <c r="D342">
        <v>1001</v>
      </c>
      <c r="E342" s="1">
        <v>44044</v>
      </c>
      <c r="F342">
        <v>6006</v>
      </c>
      <c r="G342">
        <v>2752.75</v>
      </c>
      <c r="H342">
        <f t="shared" si="20"/>
        <v>6</v>
      </c>
      <c r="I342">
        <f t="shared" si="21"/>
        <v>2.75</v>
      </c>
      <c r="J342" s="35">
        <f t="shared" si="22"/>
        <v>3.25</v>
      </c>
      <c r="K342">
        <f t="shared" si="23"/>
        <v>3253.25</v>
      </c>
    </row>
    <row r="343" spans="1:11" x14ac:dyDescent="0.25">
      <c r="A343">
        <v>3</v>
      </c>
      <c r="B343">
        <v>793118</v>
      </c>
      <c r="C343" t="s">
        <v>1</v>
      </c>
      <c r="D343">
        <v>2001</v>
      </c>
      <c r="E343" s="1">
        <v>43862</v>
      </c>
      <c r="F343">
        <v>6003</v>
      </c>
      <c r="G343">
        <v>2501.25</v>
      </c>
      <c r="H343">
        <f t="shared" si="20"/>
        <v>3</v>
      </c>
      <c r="I343">
        <f t="shared" si="21"/>
        <v>1.25</v>
      </c>
      <c r="J343" s="35">
        <f t="shared" si="22"/>
        <v>1.75</v>
      </c>
      <c r="K343">
        <f t="shared" si="23"/>
        <v>3501.75</v>
      </c>
    </row>
    <row r="344" spans="1:11" x14ac:dyDescent="0.25">
      <c r="A344">
        <v>3</v>
      </c>
      <c r="B344">
        <v>294935</v>
      </c>
      <c r="C344" t="s">
        <v>3</v>
      </c>
      <c r="D344">
        <v>1198</v>
      </c>
      <c r="E344" s="1">
        <v>43739</v>
      </c>
      <c r="F344">
        <v>5990</v>
      </c>
      <c r="G344">
        <v>2396</v>
      </c>
      <c r="H344">
        <f t="shared" si="20"/>
        <v>5</v>
      </c>
      <c r="I344">
        <f t="shared" si="21"/>
        <v>2</v>
      </c>
      <c r="J344" s="35">
        <f t="shared" si="22"/>
        <v>3</v>
      </c>
      <c r="K344">
        <f t="shared" si="23"/>
        <v>3594</v>
      </c>
    </row>
    <row r="345" spans="1:11" x14ac:dyDescent="0.25">
      <c r="A345">
        <v>3</v>
      </c>
      <c r="B345">
        <v>582048</v>
      </c>
      <c r="C345" t="s">
        <v>3</v>
      </c>
      <c r="D345">
        <v>1197</v>
      </c>
      <c r="E345" s="1">
        <v>44136</v>
      </c>
      <c r="F345">
        <v>5985</v>
      </c>
      <c r="G345">
        <v>2394</v>
      </c>
      <c r="H345">
        <f t="shared" si="20"/>
        <v>5</v>
      </c>
      <c r="I345">
        <f t="shared" si="21"/>
        <v>2</v>
      </c>
      <c r="J345" s="35">
        <f t="shared" si="22"/>
        <v>3</v>
      </c>
      <c r="K345">
        <f t="shared" si="23"/>
        <v>3591</v>
      </c>
    </row>
    <row r="346" spans="1:11" x14ac:dyDescent="0.25">
      <c r="A346">
        <v>2</v>
      </c>
      <c r="B346">
        <v>289035</v>
      </c>
      <c r="C346" t="s">
        <v>2</v>
      </c>
      <c r="D346">
        <v>1496</v>
      </c>
      <c r="E346" s="1">
        <v>44105</v>
      </c>
      <c r="F346">
        <v>5984</v>
      </c>
      <c r="G346">
        <v>2244</v>
      </c>
      <c r="H346">
        <f t="shared" si="20"/>
        <v>4</v>
      </c>
      <c r="I346">
        <f t="shared" si="21"/>
        <v>1.5</v>
      </c>
      <c r="J346" s="35">
        <f t="shared" si="22"/>
        <v>2.5</v>
      </c>
      <c r="K346">
        <f t="shared" si="23"/>
        <v>3740</v>
      </c>
    </row>
    <row r="347" spans="1:11" x14ac:dyDescent="0.25">
      <c r="A347">
        <v>3</v>
      </c>
      <c r="B347">
        <v>479703</v>
      </c>
      <c r="C347" t="s">
        <v>4</v>
      </c>
      <c r="D347">
        <v>1190</v>
      </c>
      <c r="E347" s="1">
        <v>43983</v>
      </c>
      <c r="F347">
        <v>5950</v>
      </c>
      <c r="G347">
        <v>2618</v>
      </c>
      <c r="H347">
        <f t="shared" si="20"/>
        <v>5</v>
      </c>
      <c r="I347">
        <f t="shared" si="21"/>
        <v>2.2000000000000002</v>
      </c>
      <c r="J347" s="35">
        <f t="shared" si="22"/>
        <v>2.8</v>
      </c>
      <c r="K347">
        <f t="shared" si="23"/>
        <v>3332</v>
      </c>
    </row>
    <row r="348" spans="1:11" x14ac:dyDescent="0.25">
      <c r="A348">
        <v>3</v>
      </c>
      <c r="B348">
        <v>788517</v>
      </c>
      <c r="C348" t="s">
        <v>2</v>
      </c>
      <c r="D348">
        <v>1482</v>
      </c>
      <c r="E348" s="1">
        <v>43800</v>
      </c>
      <c r="F348">
        <v>5928</v>
      </c>
      <c r="G348">
        <v>2223</v>
      </c>
      <c r="H348">
        <f t="shared" si="20"/>
        <v>4</v>
      </c>
      <c r="I348">
        <f t="shared" si="21"/>
        <v>1.5</v>
      </c>
      <c r="J348" s="35">
        <f t="shared" si="22"/>
        <v>2.5</v>
      </c>
      <c r="K348">
        <f t="shared" si="23"/>
        <v>3705</v>
      </c>
    </row>
    <row r="349" spans="1:11" x14ac:dyDescent="0.25">
      <c r="A349">
        <v>2</v>
      </c>
      <c r="B349">
        <v>382008</v>
      </c>
      <c r="C349" t="s">
        <v>5</v>
      </c>
      <c r="D349">
        <v>986</v>
      </c>
      <c r="E349" s="1">
        <v>44105</v>
      </c>
      <c r="F349">
        <v>5916</v>
      </c>
      <c r="G349">
        <v>2711.5</v>
      </c>
      <c r="H349">
        <f t="shared" si="20"/>
        <v>6</v>
      </c>
      <c r="I349">
        <f t="shared" si="21"/>
        <v>2.75</v>
      </c>
      <c r="J349" s="35">
        <f t="shared" si="22"/>
        <v>3.25</v>
      </c>
      <c r="K349">
        <f t="shared" si="23"/>
        <v>3204.5</v>
      </c>
    </row>
    <row r="350" spans="1:11" x14ac:dyDescent="0.25">
      <c r="A350">
        <v>3</v>
      </c>
      <c r="B350">
        <v>763666</v>
      </c>
      <c r="C350" t="s">
        <v>3</v>
      </c>
      <c r="D350">
        <v>1177</v>
      </c>
      <c r="E350" s="1">
        <v>44136</v>
      </c>
      <c r="F350">
        <v>5885</v>
      </c>
      <c r="G350">
        <v>2354</v>
      </c>
      <c r="H350">
        <f t="shared" si="20"/>
        <v>5</v>
      </c>
      <c r="I350">
        <f t="shared" si="21"/>
        <v>2</v>
      </c>
      <c r="J350" s="35">
        <f t="shared" si="22"/>
        <v>3</v>
      </c>
      <c r="K350">
        <f t="shared" si="23"/>
        <v>3531</v>
      </c>
    </row>
    <row r="351" spans="1:11" x14ac:dyDescent="0.25">
      <c r="A351">
        <v>2</v>
      </c>
      <c r="B351">
        <v>837170</v>
      </c>
      <c r="C351" t="s">
        <v>3</v>
      </c>
      <c r="D351">
        <v>1175</v>
      </c>
      <c r="E351" s="1">
        <v>44105</v>
      </c>
      <c r="F351">
        <v>5875</v>
      </c>
      <c r="G351">
        <v>2350</v>
      </c>
      <c r="H351">
        <f t="shared" si="20"/>
        <v>5</v>
      </c>
      <c r="I351">
        <f t="shared" si="21"/>
        <v>2</v>
      </c>
      <c r="J351" s="35">
        <f t="shared" si="22"/>
        <v>3</v>
      </c>
      <c r="K351">
        <f t="shared" si="23"/>
        <v>3525</v>
      </c>
    </row>
    <row r="352" spans="1:11" x14ac:dyDescent="0.25">
      <c r="A352">
        <v>2</v>
      </c>
      <c r="B352">
        <v>462436</v>
      </c>
      <c r="C352" t="s">
        <v>1</v>
      </c>
      <c r="D352">
        <v>1956</v>
      </c>
      <c r="E352" s="1">
        <v>43831</v>
      </c>
      <c r="F352">
        <v>5868</v>
      </c>
      <c r="G352">
        <v>2445</v>
      </c>
      <c r="H352">
        <f t="shared" si="20"/>
        <v>3</v>
      </c>
      <c r="I352">
        <f t="shared" si="21"/>
        <v>1.25</v>
      </c>
      <c r="J352" s="35">
        <f t="shared" si="22"/>
        <v>1.75</v>
      </c>
      <c r="K352">
        <f t="shared" si="23"/>
        <v>3423</v>
      </c>
    </row>
    <row r="353" spans="1:11" x14ac:dyDescent="0.25">
      <c r="A353">
        <v>4</v>
      </c>
      <c r="B353">
        <v>623371</v>
      </c>
      <c r="C353" t="s">
        <v>1</v>
      </c>
      <c r="D353">
        <v>1945</v>
      </c>
      <c r="E353" s="1">
        <v>43739</v>
      </c>
      <c r="F353">
        <v>5835</v>
      </c>
      <c r="G353">
        <v>2431.25</v>
      </c>
      <c r="H353">
        <f t="shared" si="20"/>
        <v>3</v>
      </c>
      <c r="I353">
        <f t="shared" si="21"/>
        <v>1.25</v>
      </c>
      <c r="J353" s="35">
        <f t="shared" si="22"/>
        <v>1.75</v>
      </c>
      <c r="K353">
        <f t="shared" si="23"/>
        <v>3403.75</v>
      </c>
    </row>
    <row r="354" spans="1:11" x14ac:dyDescent="0.25">
      <c r="A354">
        <v>2</v>
      </c>
      <c r="B354">
        <v>434482</v>
      </c>
      <c r="C354" t="s">
        <v>1</v>
      </c>
      <c r="D354">
        <v>1940</v>
      </c>
      <c r="E354" s="1">
        <v>43800</v>
      </c>
      <c r="F354">
        <v>5820</v>
      </c>
      <c r="G354">
        <v>2425</v>
      </c>
      <c r="H354">
        <f t="shared" si="20"/>
        <v>3</v>
      </c>
      <c r="I354">
        <f t="shared" si="21"/>
        <v>1.25</v>
      </c>
      <c r="J354" s="35">
        <f t="shared" si="22"/>
        <v>1.75</v>
      </c>
      <c r="K354">
        <f t="shared" si="23"/>
        <v>3395</v>
      </c>
    </row>
    <row r="355" spans="1:11" x14ac:dyDescent="0.25">
      <c r="A355">
        <v>3</v>
      </c>
      <c r="B355">
        <v>151329</v>
      </c>
      <c r="C355" t="s">
        <v>4</v>
      </c>
      <c r="D355">
        <v>1159</v>
      </c>
      <c r="E355" s="1">
        <v>43739</v>
      </c>
      <c r="F355">
        <v>5795</v>
      </c>
      <c r="G355">
        <v>2549.8000000000002</v>
      </c>
      <c r="H355">
        <f t="shared" si="20"/>
        <v>5</v>
      </c>
      <c r="I355">
        <f t="shared" si="21"/>
        <v>2.2000000000000002</v>
      </c>
      <c r="J355" s="35">
        <f t="shared" si="22"/>
        <v>2.8</v>
      </c>
      <c r="K355">
        <f t="shared" si="23"/>
        <v>3245.2</v>
      </c>
    </row>
    <row r="356" spans="1:11" x14ac:dyDescent="0.25">
      <c r="A356">
        <v>4</v>
      </c>
      <c r="B356">
        <v>690780</v>
      </c>
      <c r="C356" t="s">
        <v>3</v>
      </c>
      <c r="D356">
        <v>1158</v>
      </c>
      <c r="E356" s="1">
        <v>43891</v>
      </c>
      <c r="F356">
        <v>5790</v>
      </c>
      <c r="G356">
        <v>2316</v>
      </c>
      <c r="H356">
        <f t="shared" si="20"/>
        <v>5</v>
      </c>
      <c r="I356">
        <f t="shared" si="21"/>
        <v>2</v>
      </c>
      <c r="J356" s="35">
        <f t="shared" si="22"/>
        <v>3</v>
      </c>
      <c r="K356">
        <f t="shared" si="23"/>
        <v>3474</v>
      </c>
    </row>
    <row r="357" spans="1:11" x14ac:dyDescent="0.25">
      <c r="A357">
        <v>4</v>
      </c>
      <c r="B357">
        <v>869055</v>
      </c>
      <c r="C357" t="s">
        <v>2</v>
      </c>
      <c r="D357">
        <v>1445</v>
      </c>
      <c r="E357" s="1">
        <v>44075</v>
      </c>
      <c r="F357">
        <v>5780</v>
      </c>
      <c r="G357">
        <v>2167.5</v>
      </c>
      <c r="H357">
        <f t="shared" si="20"/>
        <v>4</v>
      </c>
      <c r="I357">
        <f t="shared" si="21"/>
        <v>1.5</v>
      </c>
      <c r="J357" s="35">
        <f t="shared" si="22"/>
        <v>2.5</v>
      </c>
      <c r="K357">
        <f t="shared" si="23"/>
        <v>3612.5</v>
      </c>
    </row>
    <row r="358" spans="1:11" x14ac:dyDescent="0.25">
      <c r="A358">
        <v>2</v>
      </c>
      <c r="B358">
        <v>203608</v>
      </c>
      <c r="C358" t="s">
        <v>3</v>
      </c>
      <c r="D358">
        <v>1153</v>
      </c>
      <c r="E358" s="1">
        <v>44105</v>
      </c>
      <c r="F358">
        <v>5765</v>
      </c>
      <c r="G358">
        <v>2306</v>
      </c>
      <c r="H358">
        <f t="shared" si="20"/>
        <v>5</v>
      </c>
      <c r="I358">
        <f t="shared" si="21"/>
        <v>2</v>
      </c>
      <c r="J358" s="35">
        <f t="shared" si="22"/>
        <v>3</v>
      </c>
      <c r="K358">
        <f t="shared" si="23"/>
        <v>3459</v>
      </c>
    </row>
    <row r="359" spans="1:11" x14ac:dyDescent="0.25">
      <c r="A359">
        <v>3</v>
      </c>
      <c r="B359">
        <v>703612</v>
      </c>
      <c r="C359" t="s">
        <v>1</v>
      </c>
      <c r="D359">
        <v>1916</v>
      </c>
      <c r="E359" s="1">
        <v>43922</v>
      </c>
      <c r="F359">
        <v>5748</v>
      </c>
      <c r="G359">
        <v>2395</v>
      </c>
      <c r="H359">
        <f t="shared" si="20"/>
        <v>3</v>
      </c>
      <c r="I359">
        <f t="shared" si="21"/>
        <v>1.25</v>
      </c>
      <c r="J359" s="35">
        <f t="shared" si="22"/>
        <v>1.75</v>
      </c>
      <c r="K359">
        <f t="shared" si="23"/>
        <v>3353</v>
      </c>
    </row>
    <row r="360" spans="1:11" x14ac:dyDescent="0.25">
      <c r="A360">
        <v>2</v>
      </c>
      <c r="B360">
        <v>308620</v>
      </c>
      <c r="C360" t="s">
        <v>3</v>
      </c>
      <c r="D360">
        <v>1143</v>
      </c>
      <c r="E360" s="1">
        <v>44105</v>
      </c>
      <c r="F360">
        <v>5715</v>
      </c>
      <c r="G360">
        <v>2286</v>
      </c>
      <c r="H360">
        <f t="shared" si="20"/>
        <v>5</v>
      </c>
      <c r="I360">
        <f t="shared" si="21"/>
        <v>2</v>
      </c>
      <c r="J360" s="35">
        <f t="shared" si="22"/>
        <v>3</v>
      </c>
      <c r="K360">
        <f t="shared" si="23"/>
        <v>3429</v>
      </c>
    </row>
    <row r="361" spans="1:11" x14ac:dyDescent="0.25">
      <c r="A361">
        <v>3</v>
      </c>
      <c r="B361">
        <v>170867</v>
      </c>
      <c r="C361" t="s">
        <v>4</v>
      </c>
      <c r="D361">
        <v>1143</v>
      </c>
      <c r="E361" s="1">
        <v>44105</v>
      </c>
      <c r="F361">
        <v>5715</v>
      </c>
      <c r="G361">
        <v>2514.6000000000004</v>
      </c>
      <c r="H361">
        <f t="shared" si="20"/>
        <v>5</v>
      </c>
      <c r="I361">
        <f t="shared" si="21"/>
        <v>2.2000000000000002</v>
      </c>
      <c r="J361" s="35">
        <f t="shared" si="22"/>
        <v>2.8</v>
      </c>
      <c r="K361">
        <f t="shared" si="23"/>
        <v>3200.3999999999996</v>
      </c>
    </row>
    <row r="362" spans="1:11" x14ac:dyDescent="0.25">
      <c r="A362">
        <v>4</v>
      </c>
      <c r="B362">
        <v>730844</v>
      </c>
      <c r="C362" t="s">
        <v>5</v>
      </c>
      <c r="D362">
        <v>952</v>
      </c>
      <c r="E362" s="1">
        <v>43862</v>
      </c>
      <c r="F362">
        <v>5712</v>
      </c>
      <c r="G362">
        <v>2618</v>
      </c>
      <c r="H362">
        <f t="shared" si="20"/>
        <v>6</v>
      </c>
      <c r="I362">
        <f t="shared" si="21"/>
        <v>2.75</v>
      </c>
      <c r="J362" s="35">
        <f t="shared" si="22"/>
        <v>3.25</v>
      </c>
      <c r="K362">
        <f t="shared" si="23"/>
        <v>3094</v>
      </c>
    </row>
    <row r="363" spans="1:11" x14ac:dyDescent="0.25">
      <c r="A363">
        <v>1</v>
      </c>
      <c r="B363">
        <v>234290</v>
      </c>
      <c r="C363" t="s">
        <v>3</v>
      </c>
      <c r="D363">
        <v>1142</v>
      </c>
      <c r="E363" s="1">
        <v>43983</v>
      </c>
      <c r="F363">
        <v>5710</v>
      </c>
      <c r="G363">
        <v>2284</v>
      </c>
      <c r="H363">
        <f t="shared" si="20"/>
        <v>5</v>
      </c>
      <c r="I363">
        <f t="shared" si="21"/>
        <v>2</v>
      </c>
      <c r="J363" s="35">
        <f t="shared" si="22"/>
        <v>3</v>
      </c>
      <c r="K363">
        <f t="shared" si="23"/>
        <v>3426</v>
      </c>
    </row>
    <row r="364" spans="1:11" x14ac:dyDescent="0.25">
      <c r="A364">
        <v>3</v>
      </c>
      <c r="B364">
        <v>697568</v>
      </c>
      <c r="C364" t="s">
        <v>3</v>
      </c>
      <c r="D364">
        <v>1138</v>
      </c>
      <c r="E364" s="1">
        <v>44166</v>
      </c>
      <c r="F364">
        <v>5690</v>
      </c>
      <c r="G364">
        <v>2276</v>
      </c>
      <c r="H364">
        <f t="shared" si="20"/>
        <v>5</v>
      </c>
      <c r="I364">
        <f t="shared" si="21"/>
        <v>2</v>
      </c>
      <c r="J364" s="35">
        <f t="shared" si="22"/>
        <v>3</v>
      </c>
      <c r="K364">
        <f t="shared" si="23"/>
        <v>3414</v>
      </c>
    </row>
    <row r="365" spans="1:11" x14ac:dyDescent="0.25">
      <c r="A365">
        <v>5</v>
      </c>
      <c r="B365">
        <v>691342</v>
      </c>
      <c r="C365" t="s">
        <v>4</v>
      </c>
      <c r="D365">
        <v>1135</v>
      </c>
      <c r="E365" s="1">
        <v>43983</v>
      </c>
      <c r="F365">
        <v>5675</v>
      </c>
      <c r="G365">
        <v>2497</v>
      </c>
      <c r="H365">
        <f t="shared" si="20"/>
        <v>5</v>
      </c>
      <c r="I365">
        <f t="shared" si="21"/>
        <v>2.2000000000000002</v>
      </c>
      <c r="J365" s="35">
        <f t="shared" si="22"/>
        <v>2.8</v>
      </c>
      <c r="K365">
        <f t="shared" si="23"/>
        <v>3178</v>
      </c>
    </row>
    <row r="366" spans="1:11" x14ac:dyDescent="0.25">
      <c r="A366">
        <v>2</v>
      </c>
      <c r="B366">
        <v>149767</v>
      </c>
      <c r="C366" t="s">
        <v>1</v>
      </c>
      <c r="D366">
        <v>1874</v>
      </c>
      <c r="E366" s="1">
        <v>44044</v>
      </c>
      <c r="F366">
        <v>5622</v>
      </c>
      <c r="G366">
        <v>2342.5</v>
      </c>
      <c r="H366">
        <f t="shared" si="20"/>
        <v>3</v>
      </c>
      <c r="I366">
        <f t="shared" si="21"/>
        <v>1.25</v>
      </c>
      <c r="J366" s="35">
        <f t="shared" si="22"/>
        <v>1.75</v>
      </c>
      <c r="K366">
        <f t="shared" si="23"/>
        <v>3279.5</v>
      </c>
    </row>
    <row r="367" spans="1:11" x14ac:dyDescent="0.25">
      <c r="A367">
        <v>2</v>
      </c>
      <c r="B367">
        <v>898591</v>
      </c>
      <c r="C367" t="s">
        <v>3</v>
      </c>
      <c r="D367">
        <v>1123</v>
      </c>
      <c r="E367" s="1">
        <v>43709</v>
      </c>
      <c r="F367">
        <v>5615</v>
      </c>
      <c r="G367">
        <v>2246</v>
      </c>
      <c r="H367">
        <f t="shared" si="20"/>
        <v>5</v>
      </c>
      <c r="I367">
        <f t="shared" si="21"/>
        <v>2</v>
      </c>
      <c r="J367" s="35">
        <f t="shared" si="22"/>
        <v>3</v>
      </c>
      <c r="K367">
        <f t="shared" si="23"/>
        <v>3369</v>
      </c>
    </row>
    <row r="368" spans="1:11" x14ac:dyDescent="0.25">
      <c r="A368">
        <v>2</v>
      </c>
      <c r="B368">
        <v>304458</v>
      </c>
      <c r="C368" t="s">
        <v>4</v>
      </c>
      <c r="D368">
        <v>1123</v>
      </c>
      <c r="E368" s="1">
        <v>44044</v>
      </c>
      <c r="F368">
        <v>5615</v>
      </c>
      <c r="G368">
        <v>2470.6000000000004</v>
      </c>
      <c r="H368">
        <f t="shared" si="20"/>
        <v>5</v>
      </c>
      <c r="I368">
        <f t="shared" si="21"/>
        <v>2.2000000000000002</v>
      </c>
      <c r="J368" s="35">
        <f t="shared" si="22"/>
        <v>2.8</v>
      </c>
      <c r="K368">
        <f t="shared" si="23"/>
        <v>3144.3999999999996</v>
      </c>
    </row>
    <row r="369" spans="1:11" x14ac:dyDescent="0.25">
      <c r="A369">
        <v>2</v>
      </c>
      <c r="B369">
        <v>366080</v>
      </c>
      <c r="C369" t="s">
        <v>1</v>
      </c>
      <c r="D369">
        <v>1870</v>
      </c>
      <c r="E369" s="1">
        <v>43800</v>
      </c>
      <c r="F369">
        <v>5610</v>
      </c>
      <c r="G369">
        <v>2337.5</v>
      </c>
      <c r="H369">
        <f t="shared" si="20"/>
        <v>3</v>
      </c>
      <c r="I369">
        <f t="shared" si="21"/>
        <v>1.25</v>
      </c>
      <c r="J369" s="35">
        <f t="shared" si="22"/>
        <v>1.75</v>
      </c>
      <c r="K369">
        <f t="shared" si="23"/>
        <v>3272.5</v>
      </c>
    </row>
    <row r="370" spans="1:11" x14ac:dyDescent="0.25">
      <c r="A370">
        <v>3</v>
      </c>
      <c r="B370">
        <v>667288</v>
      </c>
      <c r="C370" t="s">
        <v>3</v>
      </c>
      <c r="D370">
        <v>1122</v>
      </c>
      <c r="E370" s="1">
        <v>43891</v>
      </c>
      <c r="F370">
        <v>5610</v>
      </c>
      <c r="G370">
        <v>2244</v>
      </c>
      <c r="H370">
        <f t="shared" si="20"/>
        <v>5</v>
      </c>
      <c r="I370">
        <f t="shared" si="21"/>
        <v>2</v>
      </c>
      <c r="J370" s="35">
        <f t="shared" si="22"/>
        <v>3</v>
      </c>
      <c r="K370">
        <f t="shared" si="23"/>
        <v>3366</v>
      </c>
    </row>
    <row r="371" spans="1:11" x14ac:dyDescent="0.25">
      <c r="A371">
        <v>2</v>
      </c>
      <c r="B371">
        <v>390355</v>
      </c>
      <c r="C371" t="s">
        <v>1</v>
      </c>
      <c r="D371">
        <v>1867</v>
      </c>
      <c r="E371" s="1">
        <v>44075</v>
      </c>
      <c r="F371">
        <v>5601</v>
      </c>
      <c r="G371">
        <v>2333.75</v>
      </c>
      <c r="H371">
        <f t="shared" si="20"/>
        <v>3</v>
      </c>
      <c r="I371">
        <f t="shared" si="21"/>
        <v>1.25</v>
      </c>
      <c r="J371" s="35">
        <f t="shared" si="22"/>
        <v>1.75</v>
      </c>
      <c r="K371">
        <f t="shared" si="23"/>
        <v>3267.25</v>
      </c>
    </row>
    <row r="372" spans="1:11" x14ac:dyDescent="0.25">
      <c r="A372">
        <v>2</v>
      </c>
      <c r="B372">
        <v>653226</v>
      </c>
      <c r="C372" t="s">
        <v>4</v>
      </c>
      <c r="D372">
        <v>1118</v>
      </c>
      <c r="E372" s="1">
        <v>44136</v>
      </c>
      <c r="F372">
        <v>5590</v>
      </c>
      <c r="G372">
        <v>2459.6000000000004</v>
      </c>
      <c r="H372">
        <f t="shared" si="20"/>
        <v>5</v>
      </c>
      <c r="I372">
        <f t="shared" si="21"/>
        <v>2.2000000000000002</v>
      </c>
      <c r="J372" s="35">
        <f t="shared" si="22"/>
        <v>2.8</v>
      </c>
      <c r="K372">
        <f t="shared" si="23"/>
        <v>3130.3999999999996</v>
      </c>
    </row>
    <row r="373" spans="1:11" x14ac:dyDescent="0.25">
      <c r="A373">
        <v>4</v>
      </c>
      <c r="B373">
        <v>128044</v>
      </c>
      <c r="C373" t="s">
        <v>2</v>
      </c>
      <c r="D373">
        <v>1397</v>
      </c>
      <c r="E373" s="1">
        <v>44105</v>
      </c>
      <c r="F373">
        <v>5588</v>
      </c>
      <c r="G373">
        <v>2095.5</v>
      </c>
      <c r="H373">
        <f t="shared" si="20"/>
        <v>4</v>
      </c>
      <c r="I373">
        <f t="shared" si="21"/>
        <v>1.5</v>
      </c>
      <c r="J373" s="35">
        <f t="shared" si="22"/>
        <v>2.5</v>
      </c>
      <c r="K373">
        <f t="shared" si="23"/>
        <v>3492.5</v>
      </c>
    </row>
    <row r="374" spans="1:11" x14ac:dyDescent="0.25">
      <c r="A374">
        <v>4</v>
      </c>
      <c r="B374">
        <v>686090</v>
      </c>
      <c r="C374" t="s">
        <v>3</v>
      </c>
      <c r="D374">
        <v>1114</v>
      </c>
      <c r="E374" s="1">
        <v>43891</v>
      </c>
      <c r="F374">
        <v>5570</v>
      </c>
      <c r="G374">
        <v>2228</v>
      </c>
      <c r="H374">
        <f t="shared" si="20"/>
        <v>5</v>
      </c>
      <c r="I374">
        <f t="shared" si="21"/>
        <v>2</v>
      </c>
      <c r="J374" s="35">
        <f t="shared" si="22"/>
        <v>3</v>
      </c>
      <c r="K374">
        <f t="shared" si="23"/>
        <v>3342</v>
      </c>
    </row>
    <row r="375" spans="1:11" x14ac:dyDescent="0.25">
      <c r="A375">
        <v>1</v>
      </c>
      <c r="B375">
        <v>265959</v>
      </c>
      <c r="C375" t="s">
        <v>5</v>
      </c>
      <c r="D375">
        <v>923</v>
      </c>
      <c r="E375" s="1">
        <v>44044</v>
      </c>
      <c r="F375">
        <v>5538</v>
      </c>
      <c r="G375">
        <v>2538.25</v>
      </c>
      <c r="H375">
        <f t="shared" si="20"/>
        <v>6</v>
      </c>
      <c r="I375">
        <f t="shared" si="21"/>
        <v>2.75</v>
      </c>
      <c r="J375" s="35">
        <f t="shared" si="22"/>
        <v>3.25</v>
      </c>
      <c r="K375">
        <f t="shared" si="23"/>
        <v>2999.75</v>
      </c>
    </row>
    <row r="376" spans="1:11" x14ac:dyDescent="0.25">
      <c r="A376">
        <v>3</v>
      </c>
      <c r="B376">
        <v>604462</v>
      </c>
      <c r="C376" t="s">
        <v>4</v>
      </c>
      <c r="D376">
        <v>1101</v>
      </c>
      <c r="E376" s="1">
        <v>43891</v>
      </c>
      <c r="F376">
        <v>5505</v>
      </c>
      <c r="G376">
        <v>2422.2000000000003</v>
      </c>
      <c r="H376">
        <f t="shared" si="20"/>
        <v>5</v>
      </c>
      <c r="I376">
        <f t="shared" si="21"/>
        <v>2.2000000000000002</v>
      </c>
      <c r="J376" s="35">
        <f t="shared" si="22"/>
        <v>2.8</v>
      </c>
      <c r="K376">
        <f t="shared" si="23"/>
        <v>3082.7999999999997</v>
      </c>
    </row>
    <row r="377" spans="1:11" x14ac:dyDescent="0.25">
      <c r="A377">
        <v>4</v>
      </c>
      <c r="B377">
        <v>414628</v>
      </c>
      <c r="C377" t="s">
        <v>5</v>
      </c>
      <c r="D377">
        <v>914</v>
      </c>
      <c r="E377" s="1">
        <v>44166</v>
      </c>
      <c r="F377">
        <v>5484</v>
      </c>
      <c r="G377">
        <v>2513.5</v>
      </c>
      <c r="H377">
        <f t="shared" si="20"/>
        <v>6</v>
      </c>
      <c r="I377">
        <f t="shared" si="21"/>
        <v>2.75</v>
      </c>
      <c r="J377" s="35">
        <f t="shared" si="22"/>
        <v>3.25</v>
      </c>
      <c r="K377">
        <f t="shared" si="23"/>
        <v>2970.5</v>
      </c>
    </row>
    <row r="378" spans="1:11" x14ac:dyDescent="0.25">
      <c r="A378">
        <v>5</v>
      </c>
      <c r="B378">
        <v>278950</v>
      </c>
      <c r="C378" t="s">
        <v>3</v>
      </c>
      <c r="D378">
        <v>1095</v>
      </c>
      <c r="E378" s="1">
        <v>43952</v>
      </c>
      <c r="F378">
        <v>5475</v>
      </c>
      <c r="G378">
        <v>2190</v>
      </c>
      <c r="H378">
        <f t="shared" si="20"/>
        <v>5</v>
      </c>
      <c r="I378">
        <f t="shared" si="21"/>
        <v>2</v>
      </c>
      <c r="J378" s="35">
        <f t="shared" si="22"/>
        <v>3</v>
      </c>
      <c r="K378">
        <f t="shared" si="23"/>
        <v>3285</v>
      </c>
    </row>
    <row r="379" spans="1:11" x14ac:dyDescent="0.25">
      <c r="A379">
        <v>5</v>
      </c>
      <c r="B379">
        <v>529578</v>
      </c>
      <c r="C379" t="s">
        <v>3</v>
      </c>
      <c r="D379">
        <v>1094</v>
      </c>
      <c r="E379" s="1">
        <v>43983</v>
      </c>
      <c r="F379">
        <v>5470</v>
      </c>
      <c r="G379">
        <v>2188</v>
      </c>
      <c r="H379">
        <f t="shared" si="20"/>
        <v>5</v>
      </c>
      <c r="I379">
        <f t="shared" si="21"/>
        <v>2</v>
      </c>
      <c r="J379" s="35">
        <f t="shared" si="22"/>
        <v>3</v>
      </c>
      <c r="K379">
        <f t="shared" si="23"/>
        <v>3282</v>
      </c>
    </row>
    <row r="380" spans="1:11" x14ac:dyDescent="0.25">
      <c r="A380">
        <v>4</v>
      </c>
      <c r="B380">
        <v>745887</v>
      </c>
      <c r="C380" t="s">
        <v>1</v>
      </c>
      <c r="D380">
        <v>1817</v>
      </c>
      <c r="E380" s="1">
        <v>44166</v>
      </c>
      <c r="F380">
        <v>5451</v>
      </c>
      <c r="G380">
        <v>2271.25</v>
      </c>
      <c r="H380">
        <f t="shared" si="20"/>
        <v>3</v>
      </c>
      <c r="I380">
        <f t="shared" si="21"/>
        <v>1.25</v>
      </c>
      <c r="J380" s="35">
        <f t="shared" si="22"/>
        <v>1.75</v>
      </c>
      <c r="K380">
        <f t="shared" si="23"/>
        <v>3179.75</v>
      </c>
    </row>
    <row r="381" spans="1:11" x14ac:dyDescent="0.25">
      <c r="A381">
        <v>4</v>
      </c>
      <c r="B381">
        <v>702657</v>
      </c>
      <c r="C381" t="s">
        <v>2</v>
      </c>
      <c r="D381">
        <v>1362</v>
      </c>
      <c r="E381" s="1">
        <v>44166</v>
      </c>
      <c r="F381">
        <v>5448</v>
      </c>
      <c r="G381">
        <v>2043</v>
      </c>
      <c r="H381">
        <f t="shared" si="20"/>
        <v>4</v>
      </c>
      <c r="I381">
        <f t="shared" si="21"/>
        <v>1.5</v>
      </c>
      <c r="J381" s="35">
        <f t="shared" si="22"/>
        <v>2.5</v>
      </c>
      <c r="K381">
        <f t="shared" si="23"/>
        <v>3405</v>
      </c>
    </row>
    <row r="382" spans="1:11" x14ac:dyDescent="0.25">
      <c r="A382">
        <v>3</v>
      </c>
      <c r="B382">
        <v>234667</v>
      </c>
      <c r="C382" t="s">
        <v>5</v>
      </c>
      <c r="D382">
        <v>905</v>
      </c>
      <c r="E382" s="1">
        <v>44105</v>
      </c>
      <c r="F382">
        <v>5430</v>
      </c>
      <c r="G382">
        <v>2488.75</v>
      </c>
      <c r="H382">
        <f t="shared" si="20"/>
        <v>6</v>
      </c>
      <c r="I382">
        <f t="shared" si="21"/>
        <v>2.75</v>
      </c>
      <c r="J382" s="35">
        <f t="shared" si="22"/>
        <v>3.25</v>
      </c>
      <c r="K382">
        <f t="shared" si="23"/>
        <v>2941.25</v>
      </c>
    </row>
    <row r="383" spans="1:11" x14ac:dyDescent="0.25">
      <c r="A383">
        <v>2</v>
      </c>
      <c r="B383">
        <v>332447</v>
      </c>
      <c r="C383" t="s">
        <v>3</v>
      </c>
      <c r="D383">
        <v>1085</v>
      </c>
      <c r="E383" s="1">
        <v>44105</v>
      </c>
      <c r="F383">
        <v>5425</v>
      </c>
      <c r="G383">
        <v>2170</v>
      </c>
      <c r="H383">
        <f t="shared" si="20"/>
        <v>5</v>
      </c>
      <c r="I383">
        <f t="shared" si="21"/>
        <v>2</v>
      </c>
      <c r="J383" s="35">
        <f t="shared" si="22"/>
        <v>3</v>
      </c>
      <c r="K383">
        <f t="shared" si="23"/>
        <v>3255</v>
      </c>
    </row>
    <row r="384" spans="1:11" x14ac:dyDescent="0.25">
      <c r="A384">
        <v>3</v>
      </c>
      <c r="B384">
        <v>300303</v>
      </c>
      <c r="C384" t="s">
        <v>3</v>
      </c>
      <c r="D384">
        <v>1084</v>
      </c>
      <c r="E384" s="1">
        <v>44166</v>
      </c>
      <c r="F384">
        <v>5420</v>
      </c>
      <c r="G384">
        <v>2168</v>
      </c>
      <c r="H384">
        <f t="shared" si="20"/>
        <v>5</v>
      </c>
      <c r="I384">
        <f t="shared" si="21"/>
        <v>2</v>
      </c>
      <c r="J384" s="35">
        <f t="shared" si="22"/>
        <v>3</v>
      </c>
      <c r="K384">
        <f t="shared" si="23"/>
        <v>3252</v>
      </c>
    </row>
    <row r="385" spans="1:11" x14ac:dyDescent="0.25">
      <c r="A385">
        <v>3</v>
      </c>
      <c r="B385">
        <v>559561</v>
      </c>
      <c r="C385" t="s">
        <v>1</v>
      </c>
      <c r="D385">
        <v>1806</v>
      </c>
      <c r="E385" s="1">
        <v>43952</v>
      </c>
      <c r="F385">
        <v>5418</v>
      </c>
      <c r="G385">
        <v>2257.5</v>
      </c>
      <c r="H385">
        <f t="shared" si="20"/>
        <v>3</v>
      </c>
      <c r="I385">
        <f t="shared" si="21"/>
        <v>1.25</v>
      </c>
      <c r="J385" s="35">
        <f t="shared" si="22"/>
        <v>1.75</v>
      </c>
      <c r="K385">
        <f t="shared" si="23"/>
        <v>3160.5</v>
      </c>
    </row>
    <row r="386" spans="1:11" x14ac:dyDescent="0.25">
      <c r="A386">
        <v>4</v>
      </c>
      <c r="B386">
        <v>558408</v>
      </c>
      <c r="C386" t="s">
        <v>4</v>
      </c>
      <c r="D386">
        <v>1074</v>
      </c>
      <c r="E386" s="1">
        <v>43922</v>
      </c>
      <c r="F386">
        <v>5370</v>
      </c>
      <c r="G386">
        <v>2362.8000000000002</v>
      </c>
      <c r="H386">
        <f t="shared" si="20"/>
        <v>5</v>
      </c>
      <c r="I386">
        <f t="shared" si="21"/>
        <v>2.2000000000000002</v>
      </c>
      <c r="J386" s="35">
        <f t="shared" si="22"/>
        <v>2.8</v>
      </c>
      <c r="K386">
        <f t="shared" si="23"/>
        <v>3007.2</v>
      </c>
    </row>
    <row r="387" spans="1:11" x14ac:dyDescent="0.25">
      <c r="A387">
        <v>4</v>
      </c>
      <c r="B387">
        <v>858867</v>
      </c>
      <c r="C387" t="s">
        <v>2</v>
      </c>
      <c r="D387">
        <v>1321</v>
      </c>
      <c r="E387" s="1">
        <v>43831</v>
      </c>
      <c r="F387">
        <v>5284</v>
      </c>
      <c r="G387">
        <v>1981.5</v>
      </c>
      <c r="H387">
        <f t="shared" ref="H387:H450" si="24">F387/D387</f>
        <v>4</v>
      </c>
      <c r="I387">
        <f t="shared" ref="I387:I450" si="25">G387/D387</f>
        <v>1.5</v>
      </c>
      <c r="J387" s="35">
        <f t="shared" ref="J387:J450" si="26">H387-I387</f>
        <v>2.5</v>
      </c>
      <c r="K387">
        <f t="shared" ref="K387:K450" si="27">D387*J387</f>
        <v>3302.5</v>
      </c>
    </row>
    <row r="388" spans="1:11" x14ac:dyDescent="0.25">
      <c r="A388">
        <v>5</v>
      </c>
      <c r="B388">
        <v>436748</v>
      </c>
      <c r="C388" t="s">
        <v>3</v>
      </c>
      <c r="D388">
        <v>1056</v>
      </c>
      <c r="E388" s="1">
        <v>44075</v>
      </c>
      <c r="F388">
        <v>5280</v>
      </c>
      <c r="G388">
        <v>2112</v>
      </c>
      <c r="H388">
        <f t="shared" si="24"/>
        <v>5</v>
      </c>
      <c r="I388">
        <f t="shared" si="25"/>
        <v>2</v>
      </c>
      <c r="J388" s="35">
        <f t="shared" si="26"/>
        <v>3</v>
      </c>
      <c r="K388">
        <f t="shared" si="27"/>
        <v>3168</v>
      </c>
    </row>
    <row r="389" spans="1:11" x14ac:dyDescent="0.25">
      <c r="A389">
        <v>5</v>
      </c>
      <c r="B389">
        <v>531834</v>
      </c>
      <c r="C389" t="s">
        <v>3</v>
      </c>
      <c r="D389">
        <v>1055</v>
      </c>
      <c r="E389" s="1">
        <v>44166</v>
      </c>
      <c r="F389">
        <v>5275</v>
      </c>
      <c r="G389">
        <v>2110</v>
      </c>
      <c r="H389">
        <f t="shared" si="24"/>
        <v>5</v>
      </c>
      <c r="I389">
        <f t="shared" si="25"/>
        <v>2</v>
      </c>
      <c r="J389" s="35">
        <f t="shared" si="26"/>
        <v>3</v>
      </c>
      <c r="K389">
        <f t="shared" si="27"/>
        <v>3165</v>
      </c>
    </row>
    <row r="390" spans="1:11" x14ac:dyDescent="0.25">
      <c r="A390">
        <v>5</v>
      </c>
      <c r="B390">
        <v>275167</v>
      </c>
      <c r="C390" t="s">
        <v>1</v>
      </c>
      <c r="D390">
        <v>1744</v>
      </c>
      <c r="E390" s="1">
        <v>44136</v>
      </c>
      <c r="F390">
        <v>5232</v>
      </c>
      <c r="G390">
        <v>2180</v>
      </c>
      <c r="H390">
        <f t="shared" si="24"/>
        <v>3</v>
      </c>
      <c r="I390">
        <f t="shared" si="25"/>
        <v>1.25</v>
      </c>
      <c r="J390" s="35">
        <f t="shared" si="26"/>
        <v>1.75</v>
      </c>
      <c r="K390">
        <f t="shared" si="27"/>
        <v>3052</v>
      </c>
    </row>
    <row r="391" spans="1:11" x14ac:dyDescent="0.25">
      <c r="A391">
        <v>2</v>
      </c>
      <c r="B391">
        <v>361541</v>
      </c>
      <c r="C391" t="s">
        <v>1</v>
      </c>
      <c r="D391">
        <v>1738.5</v>
      </c>
      <c r="E391" s="1">
        <v>43922</v>
      </c>
      <c r="F391">
        <v>5215.5</v>
      </c>
      <c r="G391">
        <v>2173.125</v>
      </c>
      <c r="H391">
        <f t="shared" si="24"/>
        <v>3</v>
      </c>
      <c r="I391">
        <f t="shared" si="25"/>
        <v>1.25</v>
      </c>
      <c r="J391" s="35">
        <f t="shared" si="26"/>
        <v>1.75</v>
      </c>
      <c r="K391">
        <f t="shared" si="27"/>
        <v>3042.375</v>
      </c>
    </row>
    <row r="392" spans="1:11" x14ac:dyDescent="0.25">
      <c r="A392">
        <v>2</v>
      </c>
      <c r="B392">
        <v>153144</v>
      </c>
      <c r="C392" t="s">
        <v>1</v>
      </c>
      <c r="D392">
        <v>1734</v>
      </c>
      <c r="E392" s="1">
        <v>43831</v>
      </c>
      <c r="F392">
        <v>5202</v>
      </c>
      <c r="G392">
        <v>2167.5</v>
      </c>
      <c r="H392">
        <f t="shared" si="24"/>
        <v>3</v>
      </c>
      <c r="I392">
        <f t="shared" si="25"/>
        <v>1.25</v>
      </c>
      <c r="J392" s="35">
        <f t="shared" si="26"/>
        <v>1.75</v>
      </c>
      <c r="K392">
        <f t="shared" si="27"/>
        <v>3034.5</v>
      </c>
    </row>
    <row r="393" spans="1:11" x14ac:dyDescent="0.25">
      <c r="A393">
        <v>3</v>
      </c>
      <c r="B393">
        <v>842675</v>
      </c>
      <c r="C393" t="s">
        <v>4</v>
      </c>
      <c r="D393">
        <v>1038</v>
      </c>
      <c r="E393" s="1">
        <v>43983</v>
      </c>
      <c r="F393">
        <v>5190</v>
      </c>
      <c r="G393">
        <v>2283.6000000000004</v>
      </c>
      <c r="H393">
        <f t="shared" si="24"/>
        <v>5</v>
      </c>
      <c r="I393">
        <f t="shared" si="25"/>
        <v>2.2000000000000002</v>
      </c>
      <c r="J393" s="35">
        <f t="shared" si="26"/>
        <v>2.8</v>
      </c>
      <c r="K393">
        <f t="shared" si="27"/>
        <v>2906.3999999999996</v>
      </c>
    </row>
    <row r="394" spans="1:11" x14ac:dyDescent="0.25">
      <c r="A394">
        <v>4</v>
      </c>
      <c r="B394">
        <v>429472</v>
      </c>
      <c r="C394" t="s">
        <v>3</v>
      </c>
      <c r="D394">
        <v>1038</v>
      </c>
      <c r="E394" s="1">
        <v>43983</v>
      </c>
      <c r="F394">
        <v>5190</v>
      </c>
      <c r="G394">
        <v>2076</v>
      </c>
      <c r="H394">
        <f t="shared" si="24"/>
        <v>5</v>
      </c>
      <c r="I394">
        <f t="shared" si="25"/>
        <v>2</v>
      </c>
      <c r="J394" s="35">
        <f t="shared" si="26"/>
        <v>3</v>
      </c>
      <c r="K394">
        <f t="shared" si="27"/>
        <v>3114</v>
      </c>
    </row>
    <row r="395" spans="1:11" x14ac:dyDescent="0.25">
      <c r="A395">
        <v>4</v>
      </c>
      <c r="B395">
        <v>601636</v>
      </c>
      <c r="C395" t="s">
        <v>2</v>
      </c>
      <c r="D395">
        <v>1295</v>
      </c>
      <c r="E395" s="1">
        <v>44105</v>
      </c>
      <c r="F395">
        <v>5180</v>
      </c>
      <c r="G395">
        <v>1942.5</v>
      </c>
      <c r="H395">
        <f t="shared" si="24"/>
        <v>4</v>
      </c>
      <c r="I395">
        <f t="shared" si="25"/>
        <v>1.5</v>
      </c>
      <c r="J395" s="35">
        <f t="shared" si="26"/>
        <v>2.5</v>
      </c>
      <c r="K395">
        <f t="shared" si="27"/>
        <v>3237.5</v>
      </c>
    </row>
    <row r="396" spans="1:11" x14ac:dyDescent="0.25">
      <c r="A396">
        <v>4</v>
      </c>
      <c r="B396">
        <v>304806</v>
      </c>
      <c r="C396" t="s">
        <v>5</v>
      </c>
      <c r="D396">
        <v>861</v>
      </c>
      <c r="E396" s="1">
        <v>44105</v>
      </c>
      <c r="F396">
        <v>5166</v>
      </c>
      <c r="G396">
        <v>2367.75</v>
      </c>
      <c r="H396">
        <f t="shared" si="24"/>
        <v>6</v>
      </c>
      <c r="I396">
        <f t="shared" si="25"/>
        <v>2.75</v>
      </c>
      <c r="J396" s="35">
        <f t="shared" si="26"/>
        <v>3.25</v>
      </c>
      <c r="K396">
        <f t="shared" si="27"/>
        <v>2798.25</v>
      </c>
    </row>
    <row r="397" spans="1:11" x14ac:dyDescent="0.25">
      <c r="A397">
        <v>1</v>
      </c>
      <c r="B397">
        <v>142979</v>
      </c>
      <c r="C397" t="s">
        <v>3</v>
      </c>
      <c r="D397">
        <v>1031</v>
      </c>
      <c r="E397" s="1">
        <v>43709</v>
      </c>
      <c r="F397">
        <v>5155</v>
      </c>
      <c r="G397">
        <v>2062</v>
      </c>
      <c r="H397">
        <f t="shared" si="24"/>
        <v>5</v>
      </c>
      <c r="I397">
        <f t="shared" si="25"/>
        <v>2</v>
      </c>
      <c r="J397" s="35">
        <f t="shared" si="26"/>
        <v>3</v>
      </c>
      <c r="K397">
        <f t="shared" si="27"/>
        <v>3093</v>
      </c>
    </row>
    <row r="398" spans="1:11" x14ac:dyDescent="0.25">
      <c r="A398">
        <v>3</v>
      </c>
      <c r="B398">
        <v>600124</v>
      </c>
      <c r="C398" t="s">
        <v>3</v>
      </c>
      <c r="D398">
        <v>1030</v>
      </c>
      <c r="E398" s="1">
        <v>43952</v>
      </c>
      <c r="F398">
        <v>5150</v>
      </c>
      <c r="G398">
        <v>2060</v>
      </c>
      <c r="H398">
        <f t="shared" si="24"/>
        <v>5</v>
      </c>
      <c r="I398">
        <f t="shared" si="25"/>
        <v>2</v>
      </c>
      <c r="J398" s="35">
        <f t="shared" si="26"/>
        <v>3</v>
      </c>
      <c r="K398">
        <f t="shared" si="27"/>
        <v>3090</v>
      </c>
    </row>
    <row r="399" spans="1:11" x14ac:dyDescent="0.25">
      <c r="A399">
        <v>1</v>
      </c>
      <c r="B399">
        <v>428131</v>
      </c>
      <c r="C399" t="s">
        <v>5</v>
      </c>
      <c r="D399">
        <v>853</v>
      </c>
      <c r="E399" s="1">
        <v>44166</v>
      </c>
      <c r="F399">
        <v>5118</v>
      </c>
      <c r="G399">
        <v>2345.75</v>
      </c>
      <c r="H399">
        <f t="shared" si="24"/>
        <v>6</v>
      </c>
      <c r="I399">
        <f t="shared" si="25"/>
        <v>2.75</v>
      </c>
      <c r="J399" s="35">
        <f t="shared" si="26"/>
        <v>3.25</v>
      </c>
      <c r="K399">
        <f t="shared" si="27"/>
        <v>2772.25</v>
      </c>
    </row>
    <row r="400" spans="1:11" x14ac:dyDescent="0.25">
      <c r="A400">
        <v>4</v>
      </c>
      <c r="B400">
        <v>721092</v>
      </c>
      <c r="C400" t="s">
        <v>3</v>
      </c>
      <c r="D400">
        <v>1013</v>
      </c>
      <c r="E400" s="1">
        <v>44166</v>
      </c>
      <c r="F400">
        <v>5065</v>
      </c>
      <c r="G400">
        <v>2026</v>
      </c>
      <c r="H400">
        <f t="shared" si="24"/>
        <v>5</v>
      </c>
      <c r="I400">
        <f t="shared" si="25"/>
        <v>2</v>
      </c>
      <c r="J400" s="35">
        <f t="shared" si="26"/>
        <v>3</v>
      </c>
      <c r="K400">
        <f t="shared" si="27"/>
        <v>3039</v>
      </c>
    </row>
    <row r="401" spans="1:11" x14ac:dyDescent="0.25">
      <c r="A401">
        <v>4</v>
      </c>
      <c r="B401">
        <v>640447</v>
      </c>
      <c r="C401" t="s">
        <v>3</v>
      </c>
      <c r="D401">
        <v>1006</v>
      </c>
      <c r="E401" s="1">
        <v>43983</v>
      </c>
      <c r="F401">
        <v>5030</v>
      </c>
      <c r="G401">
        <v>2012</v>
      </c>
      <c r="H401">
        <f t="shared" si="24"/>
        <v>5</v>
      </c>
      <c r="I401">
        <f t="shared" si="25"/>
        <v>2</v>
      </c>
      <c r="J401" s="35">
        <f t="shared" si="26"/>
        <v>3</v>
      </c>
      <c r="K401">
        <f t="shared" si="27"/>
        <v>3018</v>
      </c>
    </row>
    <row r="402" spans="1:11" x14ac:dyDescent="0.25">
      <c r="A402">
        <v>3</v>
      </c>
      <c r="B402">
        <v>766207</v>
      </c>
      <c r="C402" t="s">
        <v>4</v>
      </c>
      <c r="D402">
        <v>994</v>
      </c>
      <c r="E402" s="1">
        <v>43709</v>
      </c>
      <c r="F402">
        <v>4970</v>
      </c>
      <c r="G402">
        <v>2186.8000000000002</v>
      </c>
      <c r="H402">
        <f t="shared" si="24"/>
        <v>5</v>
      </c>
      <c r="I402">
        <f t="shared" si="25"/>
        <v>2.2000000000000002</v>
      </c>
      <c r="J402" s="35">
        <f t="shared" si="26"/>
        <v>2.8</v>
      </c>
      <c r="K402">
        <f t="shared" si="27"/>
        <v>2783.2</v>
      </c>
    </row>
    <row r="403" spans="1:11" x14ac:dyDescent="0.25">
      <c r="A403">
        <v>4</v>
      </c>
      <c r="B403">
        <v>560581</v>
      </c>
      <c r="C403" t="s">
        <v>3</v>
      </c>
      <c r="D403">
        <v>991</v>
      </c>
      <c r="E403" s="1">
        <v>43983</v>
      </c>
      <c r="F403">
        <v>4955</v>
      </c>
      <c r="G403">
        <v>1982</v>
      </c>
      <c r="H403">
        <f t="shared" si="24"/>
        <v>5</v>
      </c>
      <c r="I403">
        <f t="shared" si="25"/>
        <v>2</v>
      </c>
      <c r="J403" s="35">
        <f t="shared" si="26"/>
        <v>3</v>
      </c>
      <c r="K403">
        <f t="shared" si="27"/>
        <v>2973</v>
      </c>
    </row>
    <row r="404" spans="1:11" x14ac:dyDescent="0.25">
      <c r="A404">
        <v>4</v>
      </c>
      <c r="B404">
        <v>108848</v>
      </c>
      <c r="C404" t="s">
        <v>1</v>
      </c>
      <c r="D404">
        <v>1642</v>
      </c>
      <c r="E404" s="1">
        <v>44044</v>
      </c>
      <c r="F404">
        <v>4926</v>
      </c>
      <c r="G404">
        <v>2052.5</v>
      </c>
      <c r="H404">
        <f t="shared" si="24"/>
        <v>3</v>
      </c>
      <c r="I404">
        <f t="shared" si="25"/>
        <v>1.25</v>
      </c>
      <c r="J404" s="35">
        <f t="shared" si="26"/>
        <v>1.75</v>
      </c>
      <c r="K404">
        <f t="shared" si="27"/>
        <v>2873.5</v>
      </c>
    </row>
    <row r="405" spans="1:11" x14ac:dyDescent="0.25">
      <c r="A405">
        <v>3</v>
      </c>
      <c r="B405">
        <v>140794</v>
      </c>
      <c r="C405" t="s">
        <v>3</v>
      </c>
      <c r="D405">
        <v>974</v>
      </c>
      <c r="E405" s="1">
        <v>43862</v>
      </c>
      <c r="F405">
        <v>4870</v>
      </c>
      <c r="G405">
        <v>1948</v>
      </c>
      <c r="H405">
        <f t="shared" si="24"/>
        <v>5</v>
      </c>
      <c r="I405">
        <f t="shared" si="25"/>
        <v>2</v>
      </c>
      <c r="J405" s="35">
        <f t="shared" si="26"/>
        <v>3</v>
      </c>
      <c r="K405">
        <f t="shared" si="27"/>
        <v>2922</v>
      </c>
    </row>
    <row r="406" spans="1:11" x14ac:dyDescent="0.25">
      <c r="A406">
        <v>5</v>
      </c>
      <c r="B406">
        <v>123431</v>
      </c>
      <c r="C406" t="s">
        <v>3</v>
      </c>
      <c r="D406">
        <v>973</v>
      </c>
      <c r="E406" s="1">
        <v>43891</v>
      </c>
      <c r="F406">
        <v>4865</v>
      </c>
      <c r="G406">
        <v>1946</v>
      </c>
      <c r="H406">
        <f t="shared" si="24"/>
        <v>5</v>
      </c>
      <c r="I406">
        <f t="shared" si="25"/>
        <v>2</v>
      </c>
      <c r="J406" s="35">
        <f t="shared" si="26"/>
        <v>3</v>
      </c>
      <c r="K406">
        <f t="shared" si="27"/>
        <v>2919</v>
      </c>
    </row>
    <row r="407" spans="1:11" x14ac:dyDescent="0.25">
      <c r="A407">
        <v>1</v>
      </c>
      <c r="B407">
        <v>156941</v>
      </c>
      <c r="C407" t="s">
        <v>5</v>
      </c>
      <c r="D407">
        <v>809</v>
      </c>
      <c r="E407" s="1">
        <v>43739</v>
      </c>
      <c r="F407">
        <v>4854</v>
      </c>
      <c r="G407">
        <v>2224.75</v>
      </c>
      <c r="H407">
        <f t="shared" si="24"/>
        <v>6</v>
      </c>
      <c r="I407">
        <f t="shared" si="25"/>
        <v>2.75</v>
      </c>
      <c r="J407" s="35">
        <f t="shared" si="26"/>
        <v>3.25</v>
      </c>
      <c r="K407">
        <f t="shared" si="27"/>
        <v>2629.25</v>
      </c>
    </row>
    <row r="408" spans="1:11" x14ac:dyDescent="0.25">
      <c r="A408">
        <v>4</v>
      </c>
      <c r="B408">
        <v>256775</v>
      </c>
      <c r="C408" t="s">
        <v>4</v>
      </c>
      <c r="D408">
        <v>970</v>
      </c>
      <c r="E408" s="1">
        <v>43770</v>
      </c>
      <c r="F408">
        <v>4850</v>
      </c>
      <c r="G408">
        <v>2134</v>
      </c>
      <c r="H408">
        <f t="shared" si="24"/>
        <v>5</v>
      </c>
      <c r="I408">
        <f t="shared" si="25"/>
        <v>2.2000000000000002</v>
      </c>
      <c r="J408" s="35">
        <f t="shared" si="26"/>
        <v>2.8</v>
      </c>
      <c r="K408">
        <f t="shared" si="27"/>
        <v>2716</v>
      </c>
    </row>
    <row r="409" spans="1:11" x14ac:dyDescent="0.25">
      <c r="A409">
        <v>2</v>
      </c>
      <c r="B409">
        <v>666752</v>
      </c>
      <c r="C409" t="s">
        <v>5</v>
      </c>
      <c r="D409">
        <v>807</v>
      </c>
      <c r="E409" s="1">
        <v>43862</v>
      </c>
      <c r="F409">
        <v>4842</v>
      </c>
      <c r="G409">
        <v>2219.25</v>
      </c>
      <c r="H409">
        <f t="shared" si="24"/>
        <v>6</v>
      </c>
      <c r="I409">
        <f t="shared" si="25"/>
        <v>2.75</v>
      </c>
      <c r="J409" s="35">
        <f t="shared" si="26"/>
        <v>3.25</v>
      </c>
      <c r="K409">
        <f t="shared" si="27"/>
        <v>2622.75</v>
      </c>
    </row>
    <row r="410" spans="1:11" x14ac:dyDescent="0.25">
      <c r="A410">
        <v>3</v>
      </c>
      <c r="B410">
        <v>103112</v>
      </c>
      <c r="C410" t="s">
        <v>2</v>
      </c>
      <c r="D410">
        <v>1210</v>
      </c>
      <c r="E410" s="1">
        <v>43891</v>
      </c>
      <c r="F410">
        <v>4840</v>
      </c>
      <c r="G410">
        <v>1815</v>
      </c>
      <c r="H410">
        <f t="shared" si="24"/>
        <v>4</v>
      </c>
      <c r="I410">
        <f t="shared" si="25"/>
        <v>1.5</v>
      </c>
      <c r="J410" s="35">
        <f t="shared" si="26"/>
        <v>2.5</v>
      </c>
      <c r="K410">
        <f t="shared" si="27"/>
        <v>3025</v>
      </c>
    </row>
    <row r="411" spans="1:11" x14ac:dyDescent="0.25">
      <c r="A411">
        <v>3</v>
      </c>
      <c r="B411">
        <v>518063</v>
      </c>
      <c r="C411" t="s">
        <v>2</v>
      </c>
      <c r="D411">
        <v>1198</v>
      </c>
      <c r="E411" s="1">
        <v>43739</v>
      </c>
      <c r="F411">
        <v>4792</v>
      </c>
      <c r="G411">
        <v>1797</v>
      </c>
      <c r="H411">
        <f t="shared" si="24"/>
        <v>4</v>
      </c>
      <c r="I411">
        <f t="shared" si="25"/>
        <v>1.5</v>
      </c>
      <c r="J411" s="35">
        <f t="shared" si="26"/>
        <v>2.5</v>
      </c>
      <c r="K411">
        <f t="shared" si="27"/>
        <v>2995</v>
      </c>
    </row>
    <row r="412" spans="1:11" x14ac:dyDescent="0.25">
      <c r="A412">
        <v>2</v>
      </c>
      <c r="B412">
        <v>561318</v>
      </c>
      <c r="C412" t="s">
        <v>1</v>
      </c>
      <c r="D412">
        <v>1583</v>
      </c>
      <c r="E412" s="1">
        <v>43983</v>
      </c>
      <c r="F412">
        <v>4749</v>
      </c>
      <c r="G412">
        <v>1978.75</v>
      </c>
      <c r="H412">
        <f t="shared" si="24"/>
        <v>3</v>
      </c>
      <c r="I412">
        <f t="shared" si="25"/>
        <v>1.25</v>
      </c>
      <c r="J412" s="35">
        <f t="shared" si="26"/>
        <v>1.75</v>
      </c>
      <c r="K412">
        <f t="shared" si="27"/>
        <v>2770.25</v>
      </c>
    </row>
    <row r="413" spans="1:11" x14ac:dyDescent="0.25">
      <c r="A413">
        <v>1</v>
      </c>
      <c r="B413">
        <v>628954</v>
      </c>
      <c r="C413" t="s">
        <v>1</v>
      </c>
      <c r="D413">
        <v>1582</v>
      </c>
      <c r="E413" s="1">
        <v>44166</v>
      </c>
      <c r="F413">
        <v>4746</v>
      </c>
      <c r="G413">
        <v>1977.5</v>
      </c>
      <c r="H413">
        <f t="shared" si="24"/>
        <v>3</v>
      </c>
      <c r="I413">
        <f t="shared" si="25"/>
        <v>1.25</v>
      </c>
      <c r="J413" s="35">
        <f t="shared" si="26"/>
        <v>1.75</v>
      </c>
      <c r="K413">
        <f t="shared" si="27"/>
        <v>2768.5</v>
      </c>
    </row>
    <row r="414" spans="1:11" x14ac:dyDescent="0.25">
      <c r="A414">
        <v>1</v>
      </c>
      <c r="B414">
        <v>217808</v>
      </c>
      <c r="C414" t="s">
        <v>5</v>
      </c>
      <c r="D414">
        <v>790</v>
      </c>
      <c r="E414" s="1">
        <v>43952</v>
      </c>
      <c r="F414">
        <v>4740</v>
      </c>
      <c r="G414">
        <v>2172.5</v>
      </c>
      <c r="H414">
        <f t="shared" si="24"/>
        <v>6</v>
      </c>
      <c r="I414">
        <f t="shared" si="25"/>
        <v>2.75</v>
      </c>
      <c r="J414" s="35">
        <f t="shared" si="26"/>
        <v>3.25</v>
      </c>
      <c r="K414">
        <f t="shared" si="27"/>
        <v>2567.5</v>
      </c>
    </row>
    <row r="415" spans="1:11" x14ac:dyDescent="0.25">
      <c r="A415">
        <v>5</v>
      </c>
      <c r="B415">
        <v>565067</v>
      </c>
      <c r="C415" t="s">
        <v>1</v>
      </c>
      <c r="D415">
        <v>1579</v>
      </c>
      <c r="E415" s="1">
        <v>43891</v>
      </c>
      <c r="F415">
        <v>4737</v>
      </c>
      <c r="G415">
        <v>1973.75</v>
      </c>
      <c r="H415">
        <f t="shared" si="24"/>
        <v>3</v>
      </c>
      <c r="I415">
        <f t="shared" si="25"/>
        <v>1.25</v>
      </c>
      <c r="J415" s="35">
        <f t="shared" si="26"/>
        <v>1.75</v>
      </c>
      <c r="K415">
        <f t="shared" si="27"/>
        <v>2763.25</v>
      </c>
    </row>
    <row r="416" spans="1:11" x14ac:dyDescent="0.25">
      <c r="A416">
        <v>2</v>
      </c>
      <c r="B416">
        <v>550622</v>
      </c>
      <c r="C416" t="s">
        <v>4</v>
      </c>
      <c r="D416">
        <v>947</v>
      </c>
      <c r="E416" s="1">
        <v>43709</v>
      </c>
      <c r="F416">
        <v>4735</v>
      </c>
      <c r="G416">
        <v>2083.4</v>
      </c>
      <c r="H416">
        <f t="shared" si="24"/>
        <v>5</v>
      </c>
      <c r="I416">
        <f t="shared" si="25"/>
        <v>2.2000000000000002</v>
      </c>
      <c r="J416" s="35">
        <f t="shared" si="26"/>
        <v>2.8</v>
      </c>
      <c r="K416">
        <f t="shared" si="27"/>
        <v>2651.6</v>
      </c>
    </row>
    <row r="417" spans="1:11" x14ac:dyDescent="0.25">
      <c r="A417">
        <v>2</v>
      </c>
      <c r="B417">
        <v>358173</v>
      </c>
      <c r="C417" t="s">
        <v>1</v>
      </c>
      <c r="D417">
        <v>1570</v>
      </c>
      <c r="E417" s="1">
        <v>43983</v>
      </c>
      <c r="F417">
        <v>4710</v>
      </c>
      <c r="G417">
        <v>1962.5</v>
      </c>
      <c r="H417">
        <f t="shared" si="24"/>
        <v>3</v>
      </c>
      <c r="I417">
        <f t="shared" si="25"/>
        <v>1.25</v>
      </c>
      <c r="J417" s="35">
        <f t="shared" si="26"/>
        <v>1.75</v>
      </c>
      <c r="K417">
        <f t="shared" si="27"/>
        <v>2747.5</v>
      </c>
    </row>
    <row r="418" spans="1:11" x14ac:dyDescent="0.25">
      <c r="A418">
        <v>2</v>
      </c>
      <c r="B418">
        <v>544809</v>
      </c>
      <c r="C418" t="s">
        <v>4</v>
      </c>
      <c r="D418">
        <v>941</v>
      </c>
      <c r="E418" s="1">
        <v>44136</v>
      </c>
      <c r="F418">
        <v>4705</v>
      </c>
      <c r="G418">
        <v>2070.2000000000003</v>
      </c>
      <c r="H418">
        <f t="shared" si="24"/>
        <v>5</v>
      </c>
      <c r="I418">
        <f t="shared" si="25"/>
        <v>2.2000000000000002</v>
      </c>
      <c r="J418" s="35">
        <f t="shared" si="26"/>
        <v>2.8</v>
      </c>
      <c r="K418">
        <f t="shared" si="27"/>
        <v>2634.7999999999997</v>
      </c>
    </row>
    <row r="419" spans="1:11" x14ac:dyDescent="0.25">
      <c r="A419">
        <v>1</v>
      </c>
      <c r="B419">
        <v>819278</v>
      </c>
      <c r="C419" t="s">
        <v>2</v>
      </c>
      <c r="D419">
        <v>1174</v>
      </c>
      <c r="E419" s="1">
        <v>44044</v>
      </c>
      <c r="F419">
        <v>4696</v>
      </c>
      <c r="G419">
        <v>1761</v>
      </c>
      <c r="H419">
        <f t="shared" si="24"/>
        <v>4</v>
      </c>
      <c r="I419">
        <f t="shared" si="25"/>
        <v>1.5</v>
      </c>
      <c r="J419" s="35">
        <f t="shared" si="26"/>
        <v>2.5</v>
      </c>
      <c r="K419">
        <f t="shared" si="27"/>
        <v>2935</v>
      </c>
    </row>
    <row r="420" spans="1:11" x14ac:dyDescent="0.25">
      <c r="A420">
        <v>1</v>
      </c>
      <c r="B420">
        <v>762271</v>
      </c>
      <c r="C420" t="s">
        <v>1</v>
      </c>
      <c r="D420">
        <v>1565</v>
      </c>
      <c r="E420" s="1">
        <v>44105</v>
      </c>
      <c r="F420">
        <v>4695</v>
      </c>
      <c r="G420">
        <v>1956.25</v>
      </c>
      <c r="H420">
        <f t="shared" si="24"/>
        <v>3</v>
      </c>
      <c r="I420">
        <f t="shared" si="25"/>
        <v>1.25</v>
      </c>
      <c r="J420" s="35">
        <f t="shared" si="26"/>
        <v>1.75</v>
      </c>
      <c r="K420">
        <f t="shared" si="27"/>
        <v>2738.75</v>
      </c>
    </row>
    <row r="421" spans="1:11" x14ac:dyDescent="0.25">
      <c r="A421">
        <v>4</v>
      </c>
      <c r="B421">
        <v>521663</v>
      </c>
      <c r="C421" t="s">
        <v>1</v>
      </c>
      <c r="D421">
        <v>1531</v>
      </c>
      <c r="E421" s="1">
        <v>44166</v>
      </c>
      <c r="F421">
        <v>4593</v>
      </c>
      <c r="G421">
        <v>1913.75</v>
      </c>
      <c r="H421">
        <f t="shared" si="24"/>
        <v>3</v>
      </c>
      <c r="I421">
        <f t="shared" si="25"/>
        <v>1.25</v>
      </c>
      <c r="J421" s="35">
        <f t="shared" si="26"/>
        <v>1.75</v>
      </c>
      <c r="K421">
        <f t="shared" si="27"/>
        <v>2679.25</v>
      </c>
    </row>
    <row r="422" spans="1:11" x14ac:dyDescent="0.25">
      <c r="A422">
        <v>5</v>
      </c>
      <c r="B422">
        <v>770750</v>
      </c>
      <c r="C422" t="s">
        <v>3</v>
      </c>
      <c r="D422">
        <v>918</v>
      </c>
      <c r="E422" s="1">
        <v>43952</v>
      </c>
      <c r="F422">
        <v>4590</v>
      </c>
      <c r="G422">
        <v>1836</v>
      </c>
      <c r="H422">
        <f t="shared" si="24"/>
        <v>5</v>
      </c>
      <c r="I422">
        <f t="shared" si="25"/>
        <v>2</v>
      </c>
      <c r="J422" s="35">
        <f t="shared" si="26"/>
        <v>3</v>
      </c>
      <c r="K422">
        <f t="shared" si="27"/>
        <v>2754</v>
      </c>
    </row>
    <row r="423" spans="1:11" x14ac:dyDescent="0.25">
      <c r="A423">
        <v>1</v>
      </c>
      <c r="B423">
        <v>587301</v>
      </c>
      <c r="C423" t="s">
        <v>1</v>
      </c>
      <c r="D423">
        <v>1527</v>
      </c>
      <c r="E423" s="1">
        <v>43709</v>
      </c>
      <c r="F423">
        <v>4581</v>
      </c>
      <c r="G423">
        <v>1908.75</v>
      </c>
      <c r="H423">
        <f t="shared" si="24"/>
        <v>3</v>
      </c>
      <c r="I423">
        <f t="shared" si="25"/>
        <v>1.25</v>
      </c>
      <c r="J423" s="35">
        <f t="shared" si="26"/>
        <v>1.75</v>
      </c>
      <c r="K423">
        <f t="shared" si="27"/>
        <v>2672.25</v>
      </c>
    </row>
    <row r="424" spans="1:11" x14ac:dyDescent="0.25">
      <c r="A424">
        <v>5</v>
      </c>
      <c r="B424">
        <v>855262</v>
      </c>
      <c r="C424" t="s">
        <v>3</v>
      </c>
      <c r="D424">
        <v>914</v>
      </c>
      <c r="E424" s="1">
        <v>44166</v>
      </c>
      <c r="F424">
        <v>4570</v>
      </c>
      <c r="G424">
        <v>1828</v>
      </c>
      <c r="H424">
        <f t="shared" si="24"/>
        <v>5</v>
      </c>
      <c r="I424">
        <f t="shared" si="25"/>
        <v>2</v>
      </c>
      <c r="J424" s="35">
        <f t="shared" si="26"/>
        <v>3</v>
      </c>
      <c r="K424">
        <f t="shared" si="27"/>
        <v>2742</v>
      </c>
    </row>
    <row r="425" spans="1:11" x14ac:dyDescent="0.25">
      <c r="A425">
        <v>1</v>
      </c>
      <c r="B425">
        <v>144696</v>
      </c>
      <c r="C425" t="s">
        <v>3</v>
      </c>
      <c r="D425">
        <v>912</v>
      </c>
      <c r="E425" s="1">
        <v>43770</v>
      </c>
      <c r="F425">
        <v>4560</v>
      </c>
      <c r="G425">
        <v>1824</v>
      </c>
      <c r="H425">
        <f t="shared" si="24"/>
        <v>5</v>
      </c>
      <c r="I425">
        <f t="shared" si="25"/>
        <v>2</v>
      </c>
      <c r="J425" s="35">
        <f t="shared" si="26"/>
        <v>3</v>
      </c>
      <c r="K425">
        <f t="shared" si="27"/>
        <v>2736</v>
      </c>
    </row>
    <row r="426" spans="1:11" x14ac:dyDescent="0.25">
      <c r="A426">
        <v>3</v>
      </c>
      <c r="B426">
        <v>592176</v>
      </c>
      <c r="C426" t="s">
        <v>1</v>
      </c>
      <c r="D426">
        <v>1514</v>
      </c>
      <c r="E426" s="1">
        <v>43739</v>
      </c>
      <c r="F426">
        <v>4542</v>
      </c>
      <c r="G426">
        <v>1892.5</v>
      </c>
      <c r="H426">
        <f t="shared" si="24"/>
        <v>3</v>
      </c>
      <c r="I426">
        <f t="shared" si="25"/>
        <v>1.25</v>
      </c>
      <c r="J426" s="35">
        <f t="shared" si="26"/>
        <v>1.75</v>
      </c>
      <c r="K426">
        <f t="shared" si="27"/>
        <v>2649.5</v>
      </c>
    </row>
    <row r="427" spans="1:11" x14ac:dyDescent="0.25">
      <c r="A427">
        <v>3</v>
      </c>
      <c r="B427">
        <v>170514</v>
      </c>
      <c r="C427" t="s">
        <v>3</v>
      </c>
      <c r="D427">
        <v>905</v>
      </c>
      <c r="E427" s="1">
        <v>44105</v>
      </c>
      <c r="F427">
        <v>4525</v>
      </c>
      <c r="G427">
        <v>1810</v>
      </c>
      <c r="H427">
        <f t="shared" si="24"/>
        <v>5</v>
      </c>
      <c r="I427">
        <f t="shared" si="25"/>
        <v>2</v>
      </c>
      <c r="J427" s="35">
        <f t="shared" si="26"/>
        <v>3</v>
      </c>
      <c r="K427">
        <f t="shared" si="27"/>
        <v>2715</v>
      </c>
    </row>
    <row r="428" spans="1:11" x14ac:dyDescent="0.25">
      <c r="A428">
        <v>5</v>
      </c>
      <c r="B428">
        <v>721252</v>
      </c>
      <c r="C428" t="s">
        <v>1</v>
      </c>
      <c r="D428">
        <v>1498</v>
      </c>
      <c r="E428" s="1">
        <v>43983</v>
      </c>
      <c r="F428">
        <v>4494</v>
      </c>
      <c r="G428">
        <v>1872.5</v>
      </c>
      <c r="H428">
        <f t="shared" si="24"/>
        <v>3</v>
      </c>
      <c r="I428">
        <f t="shared" si="25"/>
        <v>1.25</v>
      </c>
      <c r="J428" s="35">
        <f t="shared" si="26"/>
        <v>1.75</v>
      </c>
      <c r="K428">
        <f t="shared" si="27"/>
        <v>2621.5</v>
      </c>
    </row>
    <row r="429" spans="1:11" x14ac:dyDescent="0.25">
      <c r="A429">
        <v>2</v>
      </c>
      <c r="B429">
        <v>356877</v>
      </c>
      <c r="C429" t="s">
        <v>1</v>
      </c>
      <c r="D429">
        <v>1496</v>
      </c>
      <c r="E429" s="1">
        <v>44105</v>
      </c>
      <c r="F429">
        <v>4488</v>
      </c>
      <c r="G429">
        <v>1870</v>
      </c>
      <c r="H429">
        <f t="shared" si="24"/>
        <v>3</v>
      </c>
      <c r="I429">
        <f t="shared" si="25"/>
        <v>1.25</v>
      </c>
      <c r="J429" s="35">
        <f t="shared" si="26"/>
        <v>1.75</v>
      </c>
      <c r="K429">
        <f t="shared" si="27"/>
        <v>2618</v>
      </c>
    </row>
    <row r="430" spans="1:11" x14ac:dyDescent="0.25">
      <c r="A430">
        <v>3</v>
      </c>
      <c r="B430">
        <v>138905</v>
      </c>
      <c r="C430" t="s">
        <v>1</v>
      </c>
      <c r="D430">
        <v>1491</v>
      </c>
      <c r="E430" s="1">
        <v>43891</v>
      </c>
      <c r="F430">
        <v>4473</v>
      </c>
      <c r="G430">
        <v>1863.75</v>
      </c>
      <c r="H430">
        <f t="shared" si="24"/>
        <v>3</v>
      </c>
      <c r="I430">
        <f t="shared" si="25"/>
        <v>1.25</v>
      </c>
      <c r="J430" s="35">
        <f t="shared" si="26"/>
        <v>1.75</v>
      </c>
      <c r="K430">
        <f t="shared" si="27"/>
        <v>2609.25</v>
      </c>
    </row>
    <row r="431" spans="1:11" x14ac:dyDescent="0.25">
      <c r="A431">
        <v>4</v>
      </c>
      <c r="B431">
        <v>137994</v>
      </c>
      <c r="C431" t="s">
        <v>2</v>
      </c>
      <c r="D431">
        <v>1117.5</v>
      </c>
      <c r="E431" s="1">
        <v>43831</v>
      </c>
      <c r="F431">
        <v>4470</v>
      </c>
      <c r="G431">
        <v>1676.25</v>
      </c>
      <c r="H431">
        <f t="shared" si="24"/>
        <v>4</v>
      </c>
      <c r="I431">
        <f t="shared" si="25"/>
        <v>1.5</v>
      </c>
      <c r="J431" s="35">
        <f t="shared" si="26"/>
        <v>2.5</v>
      </c>
      <c r="K431">
        <f t="shared" si="27"/>
        <v>2793.75</v>
      </c>
    </row>
    <row r="432" spans="1:11" x14ac:dyDescent="0.25">
      <c r="A432">
        <v>3</v>
      </c>
      <c r="B432">
        <v>787606</v>
      </c>
      <c r="C432" t="s">
        <v>2</v>
      </c>
      <c r="D432">
        <v>1116</v>
      </c>
      <c r="E432" s="1">
        <v>43862</v>
      </c>
      <c r="F432">
        <v>4464</v>
      </c>
      <c r="G432">
        <v>1674</v>
      </c>
      <c r="H432">
        <f t="shared" si="24"/>
        <v>4</v>
      </c>
      <c r="I432">
        <f t="shared" si="25"/>
        <v>1.5</v>
      </c>
      <c r="J432" s="35">
        <f t="shared" si="26"/>
        <v>2.5</v>
      </c>
      <c r="K432">
        <f t="shared" si="27"/>
        <v>2790</v>
      </c>
    </row>
    <row r="433" spans="1:11" x14ac:dyDescent="0.25">
      <c r="A433">
        <v>3</v>
      </c>
      <c r="B433">
        <v>858624</v>
      </c>
      <c r="C433" t="s">
        <v>4</v>
      </c>
      <c r="D433">
        <v>888</v>
      </c>
      <c r="E433" s="1">
        <v>43891</v>
      </c>
      <c r="F433">
        <v>4440</v>
      </c>
      <c r="G433">
        <v>1953.6000000000001</v>
      </c>
      <c r="H433">
        <f t="shared" si="24"/>
        <v>5</v>
      </c>
      <c r="I433">
        <f t="shared" si="25"/>
        <v>2.2000000000000002</v>
      </c>
      <c r="J433" s="35">
        <f t="shared" si="26"/>
        <v>2.8</v>
      </c>
      <c r="K433">
        <f t="shared" si="27"/>
        <v>2486.3999999999996</v>
      </c>
    </row>
    <row r="434" spans="1:11" x14ac:dyDescent="0.25">
      <c r="A434">
        <v>5</v>
      </c>
      <c r="B434">
        <v>249663</v>
      </c>
      <c r="C434" t="s">
        <v>3</v>
      </c>
      <c r="D434">
        <v>886</v>
      </c>
      <c r="E434" s="1">
        <v>43983</v>
      </c>
      <c r="F434">
        <v>4430</v>
      </c>
      <c r="G434">
        <v>1772</v>
      </c>
      <c r="H434">
        <f t="shared" si="24"/>
        <v>5</v>
      </c>
      <c r="I434">
        <f t="shared" si="25"/>
        <v>2</v>
      </c>
      <c r="J434" s="35">
        <f t="shared" si="26"/>
        <v>3</v>
      </c>
      <c r="K434">
        <f t="shared" si="27"/>
        <v>2658</v>
      </c>
    </row>
    <row r="435" spans="1:11" x14ac:dyDescent="0.25">
      <c r="A435">
        <v>4</v>
      </c>
      <c r="B435">
        <v>455927</v>
      </c>
      <c r="C435" t="s">
        <v>5</v>
      </c>
      <c r="D435">
        <v>736</v>
      </c>
      <c r="E435" s="1">
        <v>43709</v>
      </c>
      <c r="F435">
        <v>4416</v>
      </c>
      <c r="G435">
        <v>2024</v>
      </c>
      <c r="H435">
        <f t="shared" si="24"/>
        <v>6</v>
      </c>
      <c r="I435">
        <f t="shared" si="25"/>
        <v>2.75</v>
      </c>
      <c r="J435" s="35">
        <f t="shared" si="26"/>
        <v>3.25</v>
      </c>
      <c r="K435">
        <f t="shared" si="27"/>
        <v>2392</v>
      </c>
    </row>
    <row r="436" spans="1:11" x14ac:dyDescent="0.25">
      <c r="A436">
        <v>5</v>
      </c>
      <c r="B436">
        <v>889571</v>
      </c>
      <c r="C436" t="s">
        <v>3</v>
      </c>
      <c r="D436">
        <v>883</v>
      </c>
      <c r="E436" s="1">
        <v>44044</v>
      </c>
      <c r="F436">
        <v>4415</v>
      </c>
      <c r="G436">
        <v>1766</v>
      </c>
      <c r="H436">
        <f t="shared" si="24"/>
        <v>5</v>
      </c>
      <c r="I436">
        <f t="shared" si="25"/>
        <v>2</v>
      </c>
      <c r="J436" s="35">
        <f t="shared" si="26"/>
        <v>3</v>
      </c>
      <c r="K436">
        <f t="shared" si="27"/>
        <v>2649</v>
      </c>
    </row>
    <row r="437" spans="1:11" x14ac:dyDescent="0.25">
      <c r="A437">
        <v>3</v>
      </c>
      <c r="B437">
        <v>629559</v>
      </c>
      <c r="C437" t="s">
        <v>2</v>
      </c>
      <c r="D437">
        <v>1094</v>
      </c>
      <c r="E437" s="1">
        <v>43983</v>
      </c>
      <c r="F437">
        <v>4376</v>
      </c>
      <c r="G437">
        <v>1641</v>
      </c>
      <c r="H437">
        <f t="shared" si="24"/>
        <v>4</v>
      </c>
      <c r="I437">
        <f t="shared" si="25"/>
        <v>1.5</v>
      </c>
      <c r="J437" s="35">
        <f t="shared" si="26"/>
        <v>2.5</v>
      </c>
      <c r="K437">
        <f t="shared" si="27"/>
        <v>2735</v>
      </c>
    </row>
    <row r="438" spans="1:11" x14ac:dyDescent="0.25">
      <c r="A438">
        <v>3</v>
      </c>
      <c r="B438">
        <v>103317</v>
      </c>
      <c r="C438" t="s">
        <v>3</v>
      </c>
      <c r="D438">
        <v>873</v>
      </c>
      <c r="E438" s="1">
        <v>43831</v>
      </c>
      <c r="F438">
        <v>4365</v>
      </c>
      <c r="G438">
        <v>1746</v>
      </c>
      <c r="H438">
        <f t="shared" si="24"/>
        <v>5</v>
      </c>
      <c r="I438">
        <f t="shared" si="25"/>
        <v>2</v>
      </c>
      <c r="J438" s="35">
        <f t="shared" si="26"/>
        <v>3</v>
      </c>
      <c r="K438">
        <f t="shared" si="27"/>
        <v>2619</v>
      </c>
    </row>
    <row r="439" spans="1:11" x14ac:dyDescent="0.25">
      <c r="A439">
        <v>4</v>
      </c>
      <c r="B439">
        <v>329257</v>
      </c>
      <c r="C439" t="s">
        <v>2</v>
      </c>
      <c r="D439">
        <v>1085</v>
      </c>
      <c r="E439" s="1">
        <v>44105</v>
      </c>
      <c r="F439">
        <v>4340</v>
      </c>
      <c r="G439">
        <v>1627.5</v>
      </c>
      <c r="H439">
        <f t="shared" si="24"/>
        <v>4</v>
      </c>
      <c r="I439">
        <f t="shared" si="25"/>
        <v>1.5</v>
      </c>
      <c r="J439" s="35">
        <f t="shared" si="26"/>
        <v>2.5</v>
      </c>
      <c r="K439">
        <f t="shared" si="27"/>
        <v>2712.5</v>
      </c>
    </row>
    <row r="440" spans="1:11" x14ac:dyDescent="0.25">
      <c r="A440">
        <v>1</v>
      </c>
      <c r="B440">
        <v>852827</v>
      </c>
      <c r="C440" t="s">
        <v>3</v>
      </c>
      <c r="D440">
        <v>861</v>
      </c>
      <c r="E440" s="1">
        <v>44105</v>
      </c>
      <c r="F440">
        <v>4305</v>
      </c>
      <c r="G440">
        <v>1722</v>
      </c>
      <c r="H440">
        <f t="shared" si="24"/>
        <v>5</v>
      </c>
      <c r="I440">
        <f t="shared" si="25"/>
        <v>2</v>
      </c>
      <c r="J440" s="35">
        <f t="shared" si="26"/>
        <v>3</v>
      </c>
      <c r="K440">
        <f t="shared" si="27"/>
        <v>2583</v>
      </c>
    </row>
    <row r="441" spans="1:11" x14ac:dyDescent="0.25">
      <c r="A441">
        <v>3</v>
      </c>
      <c r="B441">
        <v>681348</v>
      </c>
      <c r="C441" t="s">
        <v>4</v>
      </c>
      <c r="D441">
        <v>853</v>
      </c>
      <c r="E441" s="1">
        <v>44166</v>
      </c>
      <c r="F441">
        <v>4265</v>
      </c>
      <c r="G441">
        <v>1876.6000000000001</v>
      </c>
      <c r="H441">
        <f t="shared" si="24"/>
        <v>5</v>
      </c>
      <c r="I441">
        <f t="shared" si="25"/>
        <v>2.2000000000000002</v>
      </c>
      <c r="J441" s="35">
        <f t="shared" si="26"/>
        <v>2.8</v>
      </c>
      <c r="K441">
        <f t="shared" si="27"/>
        <v>2388.3999999999996</v>
      </c>
    </row>
    <row r="442" spans="1:11" x14ac:dyDescent="0.25">
      <c r="A442">
        <v>5</v>
      </c>
      <c r="B442">
        <v>295390</v>
      </c>
      <c r="C442" t="s">
        <v>5</v>
      </c>
      <c r="D442">
        <v>704</v>
      </c>
      <c r="E442" s="1">
        <v>43739</v>
      </c>
      <c r="F442">
        <v>4224</v>
      </c>
      <c r="G442">
        <v>1936</v>
      </c>
      <c r="H442">
        <f t="shared" si="24"/>
        <v>6</v>
      </c>
      <c r="I442">
        <f t="shared" si="25"/>
        <v>2.75</v>
      </c>
      <c r="J442" s="35">
        <f t="shared" si="26"/>
        <v>3.25</v>
      </c>
      <c r="K442">
        <f t="shared" si="27"/>
        <v>2288</v>
      </c>
    </row>
    <row r="443" spans="1:11" x14ac:dyDescent="0.25">
      <c r="A443">
        <v>2</v>
      </c>
      <c r="B443">
        <v>791359</v>
      </c>
      <c r="C443" t="s">
        <v>1</v>
      </c>
      <c r="D443">
        <v>1397</v>
      </c>
      <c r="E443" s="1">
        <v>44105</v>
      </c>
      <c r="F443">
        <v>4191</v>
      </c>
      <c r="G443">
        <v>1746.25</v>
      </c>
      <c r="H443">
        <f t="shared" si="24"/>
        <v>3</v>
      </c>
      <c r="I443">
        <f t="shared" si="25"/>
        <v>1.25</v>
      </c>
      <c r="J443" s="35">
        <f t="shared" si="26"/>
        <v>1.75</v>
      </c>
      <c r="K443">
        <f t="shared" si="27"/>
        <v>2444.75</v>
      </c>
    </row>
    <row r="444" spans="1:11" x14ac:dyDescent="0.25">
      <c r="A444">
        <v>5</v>
      </c>
      <c r="B444">
        <v>426898</v>
      </c>
      <c r="C444" t="s">
        <v>1</v>
      </c>
      <c r="D444">
        <v>1389</v>
      </c>
      <c r="E444" s="1">
        <v>43739</v>
      </c>
      <c r="F444">
        <v>4167</v>
      </c>
      <c r="G444">
        <v>1736.25</v>
      </c>
      <c r="H444">
        <f t="shared" si="24"/>
        <v>3</v>
      </c>
      <c r="I444">
        <f t="shared" si="25"/>
        <v>1.25</v>
      </c>
      <c r="J444" s="35">
        <f t="shared" si="26"/>
        <v>1.75</v>
      </c>
      <c r="K444">
        <f t="shared" si="27"/>
        <v>2430.75</v>
      </c>
    </row>
    <row r="445" spans="1:11" x14ac:dyDescent="0.25">
      <c r="A445">
        <v>1</v>
      </c>
      <c r="B445">
        <v>285799</v>
      </c>
      <c r="C445" t="s">
        <v>2</v>
      </c>
      <c r="D445">
        <v>1023</v>
      </c>
      <c r="E445" s="1">
        <v>43709</v>
      </c>
      <c r="F445">
        <v>4092</v>
      </c>
      <c r="G445">
        <v>1534.5</v>
      </c>
      <c r="H445">
        <f t="shared" si="24"/>
        <v>4</v>
      </c>
      <c r="I445">
        <f t="shared" si="25"/>
        <v>1.5</v>
      </c>
      <c r="J445" s="35">
        <f t="shared" si="26"/>
        <v>2.5</v>
      </c>
      <c r="K445">
        <f t="shared" si="27"/>
        <v>2557.5</v>
      </c>
    </row>
    <row r="446" spans="1:11" x14ac:dyDescent="0.25">
      <c r="A446">
        <v>1</v>
      </c>
      <c r="B446">
        <v>311475</v>
      </c>
      <c r="C446" t="s">
        <v>5</v>
      </c>
      <c r="D446">
        <v>681</v>
      </c>
      <c r="E446" s="1">
        <v>43831</v>
      </c>
      <c r="F446">
        <v>4086</v>
      </c>
      <c r="G446">
        <v>1872.75</v>
      </c>
      <c r="H446">
        <f t="shared" si="24"/>
        <v>6</v>
      </c>
      <c r="I446">
        <f t="shared" si="25"/>
        <v>2.75</v>
      </c>
      <c r="J446" s="35">
        <f t="shared" si="26"/>
        <v>3.25</v>
      </c>
      <c r="K446">
        <f t="shared" si="27"/>
        <v>2213.25</v>
      </c>
    </row>
    <row r="447" spans="1:11" x14ac:dyDescent="0.25">
      <c r="A447">
        <v>2</v>
      </c>
      <c r="B447">
        <v>296951</v>
      </c>
      <c r="C447" t="s">
        <v>2</v>
      </c>
      <c r="D447">
        <v>1016</v>
      </c>
      <c r="E447" s="1">
        <v>43770</v>
      </c>
      <c r="F447">
        <v>4064</v>
      </c>
      <c r="G447">
        <v>1524</v>
      </c>
      <c r="H447">
        <f t="shared" si="24"/>
        <v>4</v>
      </c>
      <c r="I447">
        <f t="shared" si="25"/>
        <v>1.5</v>
      </c>
      <c r="J447" s="35">
        <f t="shared" si="26"/>
        <v>2.5</v>
      </c>
      <c r="K447">
        <f t="shared" si="27"/>
        <v>2540</v>
      </c>
    </row>
    <row r="448" spans="1:11" x14ac:dyDescent="0.25">
      <c r="A448">
        <v>2</v>
      </c>
      <c r="B448">
        <v>151130</v>
      </c>
      <c r="C448" t="s">
        <v>1</v>
      </c>
      <c r="D448">
        <v>1351.5</v>
      </c>
      <c r="E448" s="1">
        <v>43922</v>
      </c>
      <c r="F448">
        <v>4054.5</v>
      </c>
      <c r="G448">
        <v>1689.375</v>
      </c>
      <c r="H448">
        <f t="shared" si="24"/>
        <v>3</v>
      </c>
      <c r="I448">
        <f t="shared" si="25"/>
        <v>1.25</v>
      </c>
      <c r="J448" s="35">
        <f t="shared" si="26"/>
        <v>1.75</v>
      </c>
      <c r="K448">
        <f t="shared" si="27"/>
        <v>2365.125</v>
      </c>
    </row>
    <row r="449" spans="1:11" x14ac:dyDescent="0.25">
      <c r="A449">
        <v>4</v>
      </c>
      <c r="B449">
        <v>875012</v>
      </c>
      <c r="C449" t="s">
        <v>3</v>
      </c>
      <c r="D449">
        <v>809</v>
      </c>
      <c r="E449" s="1">
        <v>43739</v>
      </c>
      <c r="F449">
        <v>4045</v>
      </c>
      <c r="G449">
        <v>1618</v>
      </c>
      <c r="H449">
        <f t="shared" si="24"/>
        <v>5</v>
      </c>
      <c r="I449">
        <f t="shared" si="25"/>
        <v>2</v>
      </c>
      <c r="J449" s="35">
        <f t="shared" si="26"/>
        <v>3</v>
      </c>
      <c r="K449">
        <f t="shared" si="27"/>
        <v>2427</v>
      </c>
    </row>
    <row r="450" spans="1:11" x14ac:dyDescent="0.25">
      <c r="A450">
        <v>5</v>
      </c>
      <c r="B450">
        <v>411519</v>
      </c>
      <c r="C450" t="s">
        <v>2</v>
      </c>
      <c r="D450">
        <v>1010</v>
      </c>
      <c r="E450" s="1">
        <v>44105</v>
      </c>
      <c r="F450">
        <v>4040</v>
      </c>
      <c r="G450">
        <v>1515</v>
      </c>
      <c r="H450">
        <f t="shared" si="24"/>
        <v>4</v>
      </c>
      <c r="I450">
        <f t="shared" si="25"/>
        <v>1.5</v>
      </c>
      <c r="J450" s="35">
        <f t="shared" si="26"/>
        <v>2.5</v>
      </c>
      <c r="K450">
        <f t="shared" si="27"/>
        <v>2525</v>
      </c>
    </row>
    <row r="451" spans="1:11" x14ac:dyDescent="0.25">
      <c r="A451">
        <v>5</v>
      </c>
      <c r="B451">
        <v>608863</v>
      </c>
      <c r="C451" t="s">
        <v>3</v>
      </c>
      <c r="D451">
        <v>807</v>
      </c>
      <c r="E451" s="1">
        <v>43831</v>
      </c>
      <c r="F451">
        <v>4035</v>
      </c>
      <c r="G451">
        <v>1614</v>
      </c>
      <c r="H451">
        <f t="shared" ref="H451:H514" si="28">F451/D451</f>
        <v>5</v>
      </c>
      <c r="I451">
        <f t="shared" ref="I451:I514" si="29">G451/D451</f>
        <v>2</v>
      </c>
      <c r="J451" s="35">
        <f t="shared" ref="J451:J514" si="30">H451-I451</f>
        <v>3</v>
      </c>
      <c r="K451">
        <f t="shared" ref="K451:K514" si="31">D451*J451</f>
        <v>2421</v>
      </c>
    </row>
    <row r="452" spans="1:11" x14ac:dyDescent="0.25">
      <c r="A452">
        <v>2</v>
      </c>
      <c r="B452">
        <v>253981</v>
      </c>
      <c r="C452" t="s">
        <v>5</v>
      </c>
      <c r="D452">
        <v>663</v>
      </c>
      <c r="E452" s="1">
        <v>44075</v>
      </c>
      <c r="F452">
        <v>3978</v>
      </c>
      <c r="G452">
        <v>1823.25</v>
      </c>
      <c r="H452">
        <f t="shared" si="28"/>
        <v>6</v>
      </c>
      <c r="I452">
        <f t="shared" si="29"/>
        <v>2.75</v>
      </c>
      <c r="J452" s="35">
        <f t="shared" si="30"/>
        <v>3.25</v>
      </c>
      <c r="K452">
        <f t="shared" si="31"/>
        <v>2154.75</v>
      </c>
    </row>
    <row r="453" spans="1:11" x14ac:dyDescent="0.25">
      <c r="A453">
        <v>5</v>
      </c>
      <c r="B453">
        <v>196520</v>
      </c>
      <c r="C453" t="s">
        <v>5</v>
      </c>
      <c r="D453">
        <v>663</v>
      </c>
      <c r="E453" s="1">
        <v>43739</v>
      </c>
      <c r="F453">
        <v>3978</v>
      </c>
      <c r="G453">
        <v>1823.25</v>
      </c>
      <c r="H453">
        <f t="shared" si="28"/>
        <v>6</v>
      </c>
      <c r="I453">
        <f t="shared" si="29"/>
        <v>2.75</v>
      </c>
      <c r="J453" s="35">
        <f t="shared" si="30"/>
        <v>3.25</v>
      </c>
      <c r="K453">
        <f t="shared" si="31"/>
        <v>2154.75</v>
      </c>
    </row>
    <row r="454" spans="1:11" x14ac:dyDescent="0.25">
      <c r="A454">
        <v>5</v>
      </c>
      <c r="B454">
        <v>514091</v>
      </c>
      <c r="C454" t="s">
        <v>1</v>
      </c>
      <c r="D454">
        <v>1326</v>
      </c>
      <c r="E454" s="1">
        <v>43891</v>
      </c>
      <c r="F454">
        <v>3978</v>
      </c>
      <c r="G454">
        <v>1657.5</v>
      </c>
      <c r="H454">
        <f t="shared" si="28"/>
        <v>3</v>
      </c>
      <c r="I454">
        <f t="shared" si="29"/>
        <v>1.25</v>
      </c>
      <c r="J454" s="35">
        <f t="shared" si="30"/>
        <v>1.75</v>
      </c>
      <c r="K454">
        <f t="shared" si="31"/>
        <v>2320.5</v>
      </c>
    </row>
    <row r="455" spans="1:11" x14ac:dyDescent="0.25">
      <c r="A455">
        <v>2</v>
      </c>
      <c r="B455">
        <v>776513</v>
      </c>
      <c r="C455" t="s">
        <v>3</v>
      </c>
      <c r="D455">
        <v>795</v>
      </c>
      <c r="E455" s="1">
        <v>43891</v>
      </c>
      <c r="F455">
        <v>3975</v>
      </c>
      <c r="G455">
        <v>1590</v>
      </c>
      <c r="H455">
        <f t="shared" si="28"/>
        <v>5</v>
      </c>
      <c r="I455">
        <f t="shared" si="29"/>
        <v>2</v>
      </c>
      <c r="J455" s="35">
        <f t="shared" si="30"/>
        <v>3</v>
      </c>
      <c r="K455">
        <f t="shared" si="31"/>
        <v>2385</v>
      </c>
    </row>
    <row r="456" spans="1:11" x14ac:dyDescent="0.25">
      <c r="A456">
        <v>1</v>
      </c>
      <c r="B456">
        <v>551997</v>
      </c>
      <c r="C456" t="s">
        <v>2</v>
      </c>
      <c r="D456">
        <v>991</v>
      </c>
      <c r="E456" s="1">
        <v>43983</v>
      </c>
      <c r="F456">
        <v>3964</v>
      </c>
      <c r="G456">
        <v>1486.5</v>
      </c>
      <c r="H456">
        <f t="shared" si="28"/>
        <v>4</v>
      </c>
      <c r="I456">
        <f t="shared" si="29"/>
        <v>1.5</v>
      </c>
      <c r="J456" s="35">
        <f t="shared" si="30"/>
        <v>2.5</v>
      </c>
      <c r="K456">
        <f t="shared" si="31"/>
        <v>2477.5</v>
      </c>
    </row>
    <row r="457" spans="1:11" x14ac:dyDescent="0.25">
      <c r="A457">
        <v>3</v>
      </c>
      <c r="B457">
        <v>899629</v>
      </c>
      <c r="C457" t="s">
        <v>5</v>
      </c>
      <c r="D457">
        <v>660</v>
      </c>
      <c r="E457" s="1">
        <v>43709</v>
      </c>
      <c r="F457">
        <v>3960</v>
      </c>
      <c r="G457">
        <v>1815</v>
      </c>
      <c r="H457">
        <f t="shared" si="28"/>
        <v>6</v>
      </c>
      <c r="I457">
        <f t="shared" si="29"/>
        <v>2.75</v>
      </c>
      <c r="J457" s="35">
        <f t="shared" si="30"/>
        <v>3.25</v>
      </c>
      <c r="K457">
        <f t="shared" si="31"/>
        <v>2145</v>
      </c>
    </row>
    <row r="458" spans="1:11" x14ac:dyDescent="0.25">
      <c r="A458">
        <v>5</v>
      </c>
      <c r="B458">
        <v>505339</v>
      </c>
      <c r="C458" t="s">
        <v>3</v>
      </c>
      <c r="D458">
        <v>788</v>
      </c>
      <c r="E458" s="1">
        <v>43709</v>
      </c>
      <c r="F458">
        <v>3940</v>
      </c>
      <c r="G458">
        <v>1576</v>
      </c>
      <c r="H458">
        <f t="shared" si="28"/>
        <v>5</v>
      </c>
      <c r="I458">
        <f t="shared" si="29"/>
        <v>2</v>
      </c>
      <c r="J458" s="35">
        <f t="shared" si="30"/>
        <v>3</v>
      </c>
      <c r="K458">
        <f t="shared" si="31"/>
        <v>2364</v>
      </c>
    </row>
    <row r="459" spans="1:11" x14ac:dyDescent="0.25">
      <c r="A459">
        <v>3</v>
      </c>
      <c r="B459">
        <v>387444</v>
      </c>
      <c r="C459" t="s">
        <v>3</v>
      </c>
      <c r="D459">
        <v>787</v>
      </c>
      <c r="E459" s="1">
        <v>43983</v>
      </c>
      <c r="F459">
        <v>3935</v>
      </c>
      <c r="G459">
        <v>1574</v>
      </c>
      <c r="H459">
        <f t="shared" si="28"/>
        <v>5</v>
      </c>
      <c r="I459">
        <f t="shared" si="29"/>
        <v>2</v>
      </c>
      <c r="J459" s="35">
        <f t="shared" si="30"/>
        <v>3</v>
      </c>
      <c r="K459">
        <f t="shared" si="31"/>
        <v>2361</v>
      </c>
    </row>
    <row r="460" spans="1:11" x14ac:dyDescent="0.25">
      <c r="A460">
        <v>4</v>
      </c>
      <c r="B460">
        <v>573970</v>
      </c>
      <c r="C460" t="s">
        <v>5</v>
      </c>
      <c r="D460">
        <v>655</v>
      </c>
      <c r="E460" s="1">
        <v>43709</v>
      </c>
      <c r="F460">
        <v>3930</v>
      </c>
      <c r="G460">
        <v>1801.25</v>
      </c>
      <c r="H460">
        <f t="shared" si="28"/>
        <v>6</v>
      </c>
      <c r="I460">
        <f t="shared" si="29"/>
        <v>2.75</v>
      </c>
      <c r="J460" s="35">
        <f t="shared" si="30"/>
        <v>3.25</v>
      </c>
      <c r="K460">
        <f t="shared" si="31"/>
        <v>2128.75</v>
      </c>
    </row>
    <row r="461" spans="1:11" x14ac:dyDescent="0.25">
      <c r="A461">
        <v>5</v>
      </c>
      <c r="B461">
        <v>510933</v>
      </c>
      <c r="C461" t="s">
        <v>1</v>
      </c>
      <c r="D461">
        <v>1281</v>
      </c>
      <c r="E461" s="1">
        <v>43800</v>
      </c>
      <c r="F461">
        <v>3843</v>
      </c>
      <c r="G461">
        <v>1601.25</v>
      </c>
      <c r="H461">
        <f t="shared" si="28"/>
        <v>3</v>
      </c>
      <c r="I461">
        <f t="shared" si="29"/>
        <v>1.25</v>
      </c>
      <c r="J461" s="35">
        <f t="shared" si="30"/>
        <v>1.75</v>
      </c>
      <c r="K461">
        <f t="shared" si="31"/>
        <v>2241.75</v>
      </c>
    </row>
    <row r="462" spans="1:11" x14ac:dyDescent="0.25">
      <c r="A462">
        <v>2</v>
      </c>
      <c r="B462">
        <v>897372</v>
      </c>
      <c r="C462" t="s">
        <v>5</v>
      </c>
      <c r="D462">
        <v>639</v>
      </c>
      <c r="E462" s="1">
        <v>44013</v>
      </c>
      <c r="F462">
        <v>3834</v>
      </c>
      <c r="G462">
        <v>1757.25</v>
      </c>
      <c r="H462">
        <f t="shared" si="28"/>
        <v>6</v>
      </c>
      <c r="I462">
        <f t="shared" si="29"/>
        <v>2.75</v>
      </c>
      <c r="J462" s="35">
        <f t="shared" si="30"/>
        <v>3.25</v>
      </c>
      <c r="K462">
        <f t="shared" si="31"/>
        <v>2076.75</v>
      </c>
    </row>
    <row r="463" spans="1:11" x14ac:dyDescent="0.25">
      <c r="A463">
        <v>3</v>
      </c>
      <c r="B463">
        <v>584477</v>
      </c>
      <c r="C463" t="s">
        <v>5</v>
      </c>
      <c r="D463">
        <v>639</v>
      </c>
      <c r="E463" s="1">
        <v>44136</v>
      </c>
      <c r="F463">
        <v>3834</v>
      </c>
      <c r="G463">
        <v>1757.25</v>
      </c>
      <c r="H463">
        <f t="shared" si="28"/>
        <v>6</v>
      </c>
      <c r="I463">
        <f t="shared" si="29"/>
        <v>2.75</v>
      </c>
      <c r="J463" s="35">
        <f t="shared" si="30"/>
        <v>3.25</v>
      </c>
      <c r="K463">
        <f t="shared" si="31"/>
        <v>2076.75</v>
      </c>
    </row>
    <row r="464" spans="1:11" x14ac:dyDescent="0.25">
      <c r="A464">
        <v>5</v>
      </c>
      <c r="B464">
        <v>238791</v>
      </c>
      <c r="C464" t="s">
        <v>3</v>
      </c>
      <c r="D464">
        <v>766</v>
      </c>
      <c r="E464" s="1">
        <v>43739</v>
      </c>
      <c r="F464">
        <v>3830</v>
      </c>
      <c r="G464">
        <v>1532</v>
      </c>
      <c r="H464">
        <f t="shared" si="28"/>
        <v>5</v>
      </c>
      <c r="I464">
        <f t="shared" si="29"/>
        <v>2</v>
      </c>
      <c r="J464" s="35">
        <f t="shared" si="30"/>
        <v>3</v>
      </c>
      <c r="K464">
        <f t="shared" si="31"/>
        <v>2298</v>
      </c>
    </row>
    <row r="465" spans="1:11" x14ac:dyDescent="0.25">
      <c r="A465">
        <v>3</v>
      </c>
      <c r="B465">
        <v>751314</v>
      </c>
      <c r="C465" t="s">
        <v>5</v>
      </c>
      <c r="D465">
        <v>635</v>
      </c>
      <c r="E465" s="1">
        <v>44166</v>
      </c>
      <c r="F465">
        <v>3810</v>
      </c>
      <c r="G465">
        <v>1746.25</v>
      </c>
      <c r="H465">
        <f t="shared" si="28"/>
        <v>6</v>
      </c>
      <c r="I465">
        <f t="shared" si="29"/>
        <v>2.75</v>
      </c>
      <c r="J465" s="35">
        <f t="shared" si="30"/>
        <v>3.25</v>
      </c>
      <c r="K465">
        <f t="shared" si="31"/>
        <v>2063.75</v>
      </c>
    </row>
    <row r="466" spans="1:11" x14ac:dyDescent="0.25">
      <c r="A466">
        <v>4</v>
      </c>
      <c r="B466">
        <v>156617</v>
      </c>
      <c r="C466" t="s">
        <v>0</v>
      </c>
      <c r="D466">
        <v>3802.5</v>
      </c>
      <c r="E466" s="1">
        <v>43922</v>
      </c>
      <c r="F466">
        <v>3802.5</v>
      </c>
      <c r="G466">
        <v>1901.25</v>
      </c>
      <c r="H466">
        <f t="shared" si="28"/>
        <v>1</v>
      </c>
      <c r="I466">
        <f t="shared" si="29"/>
        <v>0.5</v>
      </c>
      <c r="J466" s="35">
        <f t="shared" si="30"/>
        <v>0.5</v>
      </c>
      <c r="K466">
        <f t="shared" si="31"/>
        <v>1901.25</v>
      </c>
    </row>
    <row r="467" spans="1:11" x14ac:dyDescent="0.25">
      <c r="A467">
        <v>3</v>
      </c>
      <c r="B467">
        <v>646205</v>
      </c>
      <c r="C467" t="s">
        <v>1</v>
      </c>
      <c r="D467">
        <v>1265</v>
      </c>
      <c r="E467" s="1">
        <v>43770</v>
      </c>
      <c r="F467">
        <v>3795</v>
      </c>
      <c r="G467">
        <v>1581.25</v>
      </c>
      <c r="H467">
        <f t="shared" si="28"/>
        <v>3</v>
      </c>
      <c r="I467">
        <f t="shared" si="29"/>
        <v>1.25</v>
      </c>
      <c r="J467" s="35">
        <f t="shared" si="30"/>
        <v>1.75</v>
      </c>
      <c r="K467">
        <f t="shared" si="31"/>
        <v>2213.75</v>
      </c>
    </row>
    <row r="468" spans="1:11" x14ac:dyDescent="0.25">
      <c r="A468">
        <v>2</v>
      </c>
      <c r="B468">
        <v>320688</v>
      </c>
      <c r="C468" t="s">
        <v>3</v>
      </c>
      <c r="D468">
        <v>747</v>
      </c>
      <c r="E468" s="1">
        <v>44075</v>
      </c>
      <c r="F468">
        <v>3735</v>
      </c>
      <c r="G468">
        <v>1494</v>
      </c>
      <c r="H468">
        <f t="shared" si="28"/>
        <v>5</v>
      </c>
      <c r="I468">
        <f t="shared" si="29"/>
        <v>2</v>
      </c>
      <c r="J468" s="35">
        <f t="shared" si="30"/>
        <v>3</v>
      </c>
      <c r="K468">
        <f t="shared" si="31"/>
        <v>2241</v>
      </c>
    </row>
    <row r="469" spans="1:11" x14ac:dyDescent="0.25">
      <c r="A469">
        <v>3</v>
      </c>
      <c r="B469">
        <v>871331</v>
      </c>
      <c r="C469" t="s">
        <v>1</v>
      </c>
      <c r="D469">
        <v>1233</v>
      </c>
      <c r="E469" s="1">
        <v>44166</v>
      </c>
      <c r="F469">
        <v>3699</v>
      </c>
      <c r="G469">
        <v>1541.25</v>
      </c>
      <c r="H469">
        <f t="shared" si="28"/>
        <v>3</v>
      </c>
      <c r="I469">
        <f t="shared" si="29"/>
        <v>1.25</v>
      </c>
      <c r="J469" s="35">
        <f t="shared" si="30"/>
        <v>1.75</v>
      </c>
      <c r="K469">
        <f t="shared" si="31"/>
        <v>2157.75</v>
      </c>
    </row>
    <row r="470" spans="1:11" x14ac:dyDescent="0.25">
      <c r="A470">
        <v>3</v>
      </c>
      <c r="B470">
        <v>602911</v>
      </c>
      <c r="C470" t="s">
        <v>2</v>
      </c>
      <c r="D470">
        <v>923</v>
      </c>
      <c r="E470" s="1">
        <v>43891</v>
      </c>
      <c r="F470">
        <v>3692</v>
      </c>
      <c r="G470">
        <v>1384.5</v>
      </c>
      <c r="H470">
        <f t="shared" si="28"/>
        <v>4</v>
      </c>
      <c r="I470">
        <f t="shared" si="29"/>
        <v>1.5</v>
      </c>
      <c r="J470" s="35">
        <f t="shared" si="30"/>
        <v>2.5</v>
      </c>
      <c r="K470">
        <f t="shared" si="31"/>
        <v>2307.5</v>
      </c>
    </row>
    <row r="471" spans="1:11" x14ac:dyDescent="0.25">
      <c r="A471">
        <v>2</v>
      </c>
      <c r="B471">
        <v>699845</v>
      </c>
      <c r="C471" t="s">
        <v>1</v>
      </c>
      <c r="D471">
        <v>1227</v>
      </c>
      <c r="E471" s="1">
        <v>44105</v>
      </c>
      <c r="F471">
        <v>3681</v>
      </c>
      <c r="G471">
        <v>1533.75</v>
      </c>
      <c r="H471">
        <f t="shared" si="28"/>
        <v>3</v>
      </c>
      <c r="I471">
        <f t="shared" si="29"/>
        <v>1.25</v>
      </c>
      <c r="J471" s="35">
        <f t="shared" si="30"/>
        <v>1.75</v>
      </c>
      <c r="K471">
        <f t="shared" si="31"/>
        <v>2147.25</v>
      </c>
    </row>
    <row r="472" spans="1:11" x14ac:dyDescent="0.25">
      <c r="A472">
        <v>2</v>
      </c>
      <c r="B472">
        <v>425472</v>
      </c>
      <c r="C472" t="s">
        <v>1</v>
      </c>
      <c r="D472">
        <v>1221</v>
      </c>
      <c r="E472" s="1">
        <v>43739</v>
      </c>
      <c r="F472">
        <v>3663</v>
      </c>
      <c r="G472">
        <v>1526.25</v>
      </c>
      <c r="H472">
        <f t="shared" si="28"/>
        <v>3</v>
      </c>
      <c r="I472">
        <f t="shared" si="29"/>
        <v>1.25</v>
      </c>
      <c r="J472" s="35">
        <f t="shared" si="30"/>
        <v>1.75</v>
      </c>
      <c r="K472">
        <f t="shared" si="31"/>
        <v>2136.75</v>
      </c>
    </row>
    <row r="473" spans="1:11" x14ac:dyDescent="0.25">
      <c r="A473">
        <v>1</v>
      </c>
      <c r="B473">
        <v>741049</v>
      </c>
      <c r="C473" t="s">
        <v>5</v>
      </c>
      <c r="D473">
        <v>609</v>
      </c>
      <c r="E473" s="1">
        <v>44044</v>
      </c>
      <c r="F473">
        <v>3654</v>
      </c>
      <c r="G473">
        <v>1674.75</v>
      </c>
      <c r="H473">
        <f t="shared" si="28"/>
        <v>6</v>
      </c>
      <c r="I473">
        <f t="shared" si="29"/>
        <v>2.75</v>
      </c>
      <c r="J473" s="35">
        <f t="shared" si="30"/>
        <v>3.25</v>
      </c>
      <c r="K473">
        <f t="shared" si="31"/>
        <v>1979.25</v>
      </c>
    </row>
    <row r="474" spans="1:11" x14ac:dyDescent="0.25">
      <c r="A474">
        <v>1</v>
      </c>
      <c r="B474">
        <v>349645</v>
      </c>
      <c r="C474" t="s">
        <v>5</v>
      </c>
      <c r="D474">
        <v>606</v>
      </c>
      <c r="E474" s="1">
        <v>43922</v>
      </c>
      <c r="F474">
        <v>3636</v>
      </c>
      <c r="G474">
        <v>1666.5</v>
      </c>
      <c r="H474">
        <f t="shared" si="28"/>
        <v>6</v>
      </c>
      <c r="I474">
        <f t="shared" si="29"/>
        <v>2.75</v>
      </c>
      <c r="J474" s="35">
        <f t="shared" si="30"/>
        <v>3.25</v>
      </c>
      <c r="K474">
        <f t="shared" si="31"/>
        <v>1969.5</v>
      </c>
    </row>
    <row r="475" spans="1:11" x14ac:dyDescent="0.25">
      <c r="A475">
        <v>3</v>
      </c>
      <c r="B475">
        <v>698573</v>
      </c>
      <c r="C475" t="s">
        <v>4</v>
      </c>
      <c r="D475">
        <v>727</v>
      </c>
      <c r="E475" s="1">
        <v>43739</v>
      </c>
      <c r="F475">
        <v>3635</v>
      </c>
      <c r="G475">
        <v>1599.4</v>
      </c>
      <c r="H475">
        <f t="shared" si="28"/>
        <v>5</v>
      </c>
      <c r="I475">
        <f t="shared" si="29"/>
        <v>2.2000000000000002</v>
      </c>
      <c r="J475" s="35">
        <f t="shared" si="30"/>
        <v>2.8</v>
      </c>
      <c r="K475">
        <f t="shared" si="31"/>
        <v>2035.6</v>
      </c>
    </row>
    <row r="476" spans="1:11" x14ac:dyDescent="0.25">
      <c r="A476">
        <v>4</v>
      </c>
      <c r="B476">
        <v>885205</v>
      </c>
      <c r="C476" t="s">
        <v>3</v>
      </c>
      <c r="D476">
        <v>727</v>
      </c>
      <c r="E476" s="1">
        <v>43983</v>
      </c>
      <c r="F476">
        <v>3635</v>
      </c>
      <c r="G476">
        <v>1454</v>
      </c>
      <c r="H476">
        <f t="shared" si="28"/>
        <v>5</v>
      </c>
      <c r="I476">
        <f t="shared" si="29"/>
        <v>2</v>
      </c>
      <c r="J476" s="35">
        <f t="shared" si="30"/>
        <v>3</v>
      </c>
      <c r="K476">
        <f t="shared" si="31"/>
        <v>2181</v>
      </c>
    </row>
    <row r="477" spans="1:11" x14ac:dyDescent="0.25">
      <c r="A477">
        <v>5</v>
      </c>
      <c r="B477">
        <v>758323</v>
      </c>
      <c r="C477" t="s">
        <v>3</v>
      </c>
      <c r="D477">
        <v>727</v>
      </c>
      <c r="E477" s="1">
        <v>43739</v>
      </c>
      <c r="F477">
        <v>3635</v>
      </c>
      <c r="G477">
        <v>1454</v>
      </c>
      <c r="H477">
        <f t="shared" si="28"/>
        <v>5</v>
      </c>
      <c r="I477">
        <f t="shared" si="29"/>
        <v>2</v>
      </c>
      <c r="J477" s="35">
        <f t="shared" si="30"/>
        <v>3</v>
      </c>
      <c r="K477">
        <f t="shared" si="31"/>
        <v>2181</v>
      </c>
    </row>
    <row r="478" spans="1:11" x14ac:dyDescent="0.25">
      <c r="A478">
        <v>4</v>
      </c>
      <c r="B478">
        <v>249563</v>
      </c>
      <c r="C478" t="s">
        <v>2</v>
      </c>
      <c r="D478">
        <v>908</v>
      </c>
      <c r="E478" s="1">
        <v>43800</v>
      </c>
      <c r="F478">
        <v>3632</v>
      </c>
      <c r="G478">
        <v>1362</v>
      </c>
      <c r="H478">
        <f t="shared" si="28"/>
        <v>4</v>
      </c>
      <c r="I478">
        <f t="shared" si="29"/>
        <v>1.5</v>
      </c>
      <c r="J478" s="35">
        <f t="shared" si="30"/>
        <v>2.5</v>
      </c>
      <c r="K478">
        <f t="shared" si="31"/>
        <v>2270</v>
      </c>
    </row>
    <row r="479" spans="1:11" x14ac:dyDescent="0.25">
      <c r="A479">
        <v>4</v>
      </c>
      <c r="B479">
        <v>746705</v>
      </c>
      <c r="C479" t="s">
        <v>0</v>
      </c>
      <c r="D479">
        <v>3627</v>
      </c>
      <c r="E479" s="1">
        <v>44013</v>
      </c>
      <c r="F479">
        <v>3627</v>
      </c>
      <c r="G479">
        <v>1813.5</v>
      </c>
      <c r="H479">
        <f t="shared" si="28"/>
        <v>1</v>
      </c>
      <c r="I479">
        <f t="shared" si="29"/>
        <v>0.5</v>
      </c>
      <c r="J479" s="35">
        <f t="shared" si="30"/>
        <v>0.5</v>
      </c>
      <c r="K479">
        <f t="shared" si="31"/>
        <v>1813.5</v>
      </c>
    </row>
    <row r="480" spans="1:11" x14ac:dyDescent="0.25">
      <c r="A480">
        <v>1</v>
      </c>
      <c r="B480">
        <v>135967</v>
      </c>
      <c r="C480" t="s">
        <v>5</v>
      </c>
      <c r="D480">
        <v>604</v>
      </c>
      <c r="E480" s="1">
        <v>43983</v>
      </c>
      <c r="F480">
        <v>3624</v>
      </c>
      <c r="G480">
        <v>1661</v>
      </c>
      <c r="H480">
        <f t="shared" si="28"/>
        <v>6</v>
      </c>
      <c r="I480">
        <f t="shared" si="29"/>
        <v>2.75</v>
      </c>
      <c r="J480" s="35">
        <f t="shared" si="30"/>
        <v>3.25</v>
      </c>
      <c r="K480">
        <f t="shared" si="31"/>
        <v>1963</v>
      </c>
    </row>
    <row r="481" spans="1:11" x14ac:dyDescent="0.25">
      <c r="A481">
        <v>4</v>
      </c>
      <c r="B481">
        <v>170761</v>
      </c>
      <c r="C481" t="s">
        <v>3</v>
      </c>
      <c r="D481">
        <v>723</v>
      </c>
      <c r="E481" s="1">
        <v>43922</v>
      </c>
      <c r="F481">
        <v>3615</v>
      </c>
      <c r="G481">
        <v>1446</v>
      </c>
      <c r="H481">
        <f t="shared" si="28"/>
        <v>5</v>
      </c>
      <c r="I481">
        <f t="shared" si="29"/>
        <v>2</v>
      </c>
      <c r="J481" s="35">
        <f t="shared" si="30"/>
        <v>3</v>
      </c>
      <c r="K481">
        <f t="shared" si="31"/>
        <v>2169</v>
      </c>
    </row>
    <row r="482" spans="1:11" x14ac:dyDescent="0.25">
      <c r="A482">
        <v>4</v>
      </c>
      <c r="B482">
        <v>192398</v>
      </c>
      <c r="C482" t="s">
        <v>5</v>
      </c>
      <c r="D482">
        <v>602</v>
      </c>
      <c r="E482" s="1">
        <v>43983</v>
      </c>
      <c r="F482">
        <v>3612</v>
      </c>
      <c r="G482">
        <v>1655.5</v>
      </c>
      <c r="H482">
        <f t="shared" si="28"/>
        <v>6</v>
      </c>
      <c r="I482">
        <f t="shared" si="29"/>
        <v>2.75</v>
      </c>
      <c r="J482" s="35">
        <f t="shared" si="30"/>
        <v>3.25</v>
      </c>
      <c r="K482">
        <f t="shared" si="31"/>
        <v>1956.5</v>
      </c>
    </row>
    <row r="483" spans="1:11" x14ac:dyDescent="0.25">
      <c r="A483">
        <v>1</v>
      </c>
      <c r="B483">
        <v>856865</v>
      </c>
      <c r="C483" t="s">
        <v>5</v>
      </c>
      <c r="D483">
        <v>598</v>
      </c>
      <c r="E483" s="1">
        <v>43891</v>
      </c>
      <c r="F483">
        <v>3588</v>
      </c>
      <c r="G483">
        <v>1644.5</v>
      </c>
      <c r="H483">
        <f t="shared" si="28"/>
        <v>6</v>
      </c>
      <c r="I483">
        <f t="shared" si="29"/>
        <v>2.75</v>
      </c>
      <c r="J483" s="35">
        <f t="shared" si="30"/>
        <v>3.25</v>
      </c>
      <c r="K483">
        <f t="shared" si="31"/>
        <v>1943.5</v>
      </c>
    </row>
    <row r="484" spans="1:11" x14ac:dyDescent="0.25">
      <c r="A484">
        <v>5</v>
      </c>
      <c r="B484">
        <v>103888</v>
      </c>
      <c r="C484" t="s">
        <v>4</v>
      </c>
      <c r="D484">
        <v>711</v>
      </c>
      <c r="E484" s="1">
        <v>44166</v>
      </c>
      <c r="F484">
        <v>3555</v>
      </c>
      <c r="G484">
        <v>1564.2</v>
      </c>
      <c r="H484">
        <f t="shared" si="28"/>
        <v>5</v>
      </c>
      <c r="I484">
        <f t="shared" si="29"/>
        <v>2.2000000000000002</v>
      </c>
      <c r="J484" s="35">
        <f t="shared" si="30"/>
        <v>2.8</v>
      </c>
      <c r="K484">
        <f t="shared" si="31"/>
        <v>1990.8</v>
      </c>
    </row>
    <row r="485" spans="1:11" x14ac:dyDescent="0.25">
      <c r="A485">
        <v>3</v>
      </c>
      <c r="B485">
        <v>361699</v>
      </c>
      <c r="C485" t="s">
        <v>2</v>
      </c>
      <c r="D485">
        <v>888</v>
      </c>
      <c r="E485" s="1">
        <v>43983</v>
      </c>
      <c r="F485">
        <v>3552</v>
      </c>
      <c r="G485">
        <v>1332</v>
      </c>
      <c r="H485">
        <f t="shared" si="28"/>
        <v>4</v>
      </c>
      <c r="I485">
        <f t="shared" si="29"/>
        <v>1.5</v>
      </c>
      <c r="J485" s="35">
        <f t="shared" si="30"/>
        <v>2.5</v>
      </c>
      <c r="K485">
        <f t="shared" si="31"/>
        <v>2220</v>
      </c>
    </row>
    <row r="486" spans="1:11" x14ac:dyDescent="0.25">
      <c r="A486">
        <v>3</v>
      </c>
      <c r="B486">
        <v>847678</v>
      </c>
      <c r="C486" t="s">
        <v>2</v>
      </c>
      <c r="D486">
        <v>887</v>
      </c>
      <c r="E486" s="1">
        <v>43800</v>
      </c>
      <c r="F486">
        <v>3548</v>
      </c>
      <c r="G486">
        <v>1330.5</v>
      </c>
      <c r="H486">
        <f t="shared" si="28"/>
        <v>4</v>
      </c>
      <c r="I486">
        <f t="shared" si="29"/>
        <v>1.5</v>
      </c>
      <c r="J486" s="35">
        <f t="shared" si="30"/>
        <v>2.5</v>
      </c>
      <c r="K486">
        <f t="shared" si="31"/>
        <v>2217.5</v>
      </c>
    </row>
    <row r="487" spans="1:11" x14ac:dyDescent="0.25">
      <c r="A487">
        <v>4</v>
      </c>
      <c r="B487">
        <v>533938</v>
      </c>
      <c r="C487" t="s">
        <v>2</v>
      </c>
      <c r="D487">
        <v>886</v>
      </c>
      <c r="E487" s="1">
        <v>43983</v>
      </c>
      <c r="F487">
        <v>3544</v>
      </c>
      <c r="G487">
        <v>1329</v>
      </c>
      <c r="H487">
        <f t="shared" si="28"/>
        <v>4</v>
      </c>
      <c r="I487">
        <f t="shared" si="29"/>
        <v>1.5</v>
      </c>
      <c r="J487" s="35">
        <f t="shared" si="30"/>
        <v>2.5</v>
      </c>
      <c r="K487">
        <f t="shared" si="31"/>
        <v>2215</v>
      </c>
    </row>
    <row r="488" spans="1:11" x14ac:dyDescent="0.25">
      <c r="A488">
        <v>4</v>
      </c>
      <c r="B488">
        <v>137921</v>
      </c>
      <c r="C488" t="s">
        <v>4</v>
      </c>
      <c r="D488">
        <v>708</v>
      </c>
      <c r="E488" s="1">
        <v>43983</v>
      </c>
      <c r="F488">
        <v>3540</v>
      </c>
      <c r="G488">
        <v>1557.6000000000001</v>
      </c>
      <c r="H488">
        <f t="shared" si="28"/>
        <v>5</v>
      </c>
      <c r="I488">
        <f t="shared" si="29"/>
        <v>2.2000000000000002</v>
      </c>
      <c r="J488" s="35">
        <f t="shared" si="30"/>
        <v>2.8</v>
      </c>
      <c r="K488">
        <f t="shared" si="31"/>
        <v>1982.3999999999999</v>
      </c>
    </row>
    <row r="489" spans="1:11" x14ac:dyDescent="0.25">
      <c r="A489">
        <v>3</v>
      </c>
      <c r="B489">
        <v>267107</v>
      </c>
      <c r="C489" t="s">
        <v>4</v>
      </c>
      <c r="D489">
        <v>707</v>
      </c>
      <c r="E489" s="1">
        <v>44075</v>
      </c>
      <c r="F489">
        <v>3535</v>
      </c>
      <c r="G489">
        <v>1555.4</v>
      </c>
      <c r="H489">
        <f t="shared" si="28"/>
        <v>5</v>
      </c>
      <c r="I489">
        <f t="shared" si="29"/>
        <v>2.2000000000000002</v>
      </c>
      <c r="J489" s="35">
        <f t="shared" si="30"/>
        <v>2.8</v>
      </c>
      <c r="K489">
        <f t="shared" si="31"/>
        <v>1979.6</v>
      </c>
    </row>
    <row r="490" spans="1:11" x14ac:dyDescent="0.25">
      <c r="A490">
        <v>3</v>
      </c>
      <c r="B490">
        <v>629523</v>
      </c>
      <c r="C490" t="s">
        <v>5</v>
      </c>
      <c r="D490">
        <v>588</v>
      </c>
      <c r="E490" s="1">
        <v>43800</v>
      </c>
      <c r="F490">
        <v>3528</v>
      </c>
      <c r="G490">
        <v>1617</v>
      </c>
      <c r="H490">
        <f t="shared" si="28"/>
        <v>6</v>
      </c>
      <c r="I490">
        <f t="shared" si="29"/>
        <v>2.75</v>
      </c>
      <c r="J490" s="35">
        <f t="shared" si="30"/>
        <v>3.25</v>
      </c>
      <c r="K490">
        <f t="shared" si="31"/>
        <v>1911</v>
      </c>
    </row>
    <row r="491" spans="1:11" x14ac:dyDescent="0.25">
      <c r="A491">
        <v>2</v>
      </c>
      <c r="B491">
        <v>330030</v>
      </c>
      <c r="C491" t="s">
        <v>1</v>
      </c>
      <c r="D491">
        <v>1175</v>
      </c>
      <c r="E491" s="1">
        <v>44105</v>
      </c>
      <c r="F491">
        <v>3525</v>
      </c>
      <c r="G491">
        <v>1468.75</v>
      </c>
      <c r="H491">
        <f t="shared" si="28"/>
        <v>3</v>
      </c>
      <c r="I491">
        <f t="shared" si="29"/>
        <v>1.25</v>
      </c>
      <c r="J491" s="35">
        <f t="shared" si="30"/>
        <v>1.75</v>
      </c>
      <c r="K491">
        <f t="shared" si="31"/>
        <v>2056.25</v>
      </c>
    </row>
    <row r="492" spans="1:11" x14ac:dyDescent="0.25">
      <c r="A492">
        <v>1</v>
      </c>
      <c r="B492">
        <v>567484</v>
      </c>
      <c r="C492" t="s">
        <v>3</v>
      </c>
      <c r="D492">
        <v>704</v>
      </c>
      <c r="E492" s="1">
        <v>43739</v>
      </c>
      <c r="F492">
        <v>3520</v>
      </c>
      <c r="G492">
        <v>1408</v>
      </c>
      <c r="H492">
        <f t="shared" si="28"/>
        <v>5</v>
      </c>
      <c r="I492">
        <f t="shared" si="29"/>
        <v>2</v>
      </c>
      <c r="J492" s="35">
        <f t="shared" si="30"/>
        <v>3</v>
      </c>
      <c r="K492">
        <f t="shared" si="31"/>
        <v>2112</v>
      </c>
    </row>
    <row r="493" spans="1:11" x14ac:dyDescent="0.25">
      <c r="A493">
        <v>5</v>
      </c>
      <c r="B493">
        <v>778322</v>
      </c>
      <c r="C493" t="s">
        <v>3</v>
      </c>
      <c r="D493">
        <v>700</v>
      </c>
      <c r="E493" s="1">
        <v>44136</v>
      </c>
      <c r="F493">
        <v>3500</v>
      </c>
      <c r="G493">
        <v>1400</v>
      </c>
      <c r="H493">
        <f t="shared" si="28"/>
        <v>5</v>
      </c>
      <c r="I493">
        <f t="shared" si="29"/>
        <v>2</v>
      </c>
      <c r="J493" s="35">
        <f t="shared" si="30"/>
        <v>3</v>
      </c>
      <c r="K493">
        <f t="shared" si="31"/>
        <v>2100</v>
      </c>
    </row>
    <row r="494" spans="1:11" x14ac:dyDescent="0.25">
      <c r="A494">
        <v>4</v>
      </c>
      <c r="B494">
        <v>666684</v>
      </c>
      <c r="C494" t="s">
        <v>1</v>
      </c>
      <c r="D494">
        <v>1153</v>
      </c>
      <c r="E494" s="1">
        <v>44105</v>
      </c>
      <c r="F494">
        <v>3459</v>
      </c>
      <c r="G494">
        <v>1441.25</v>
      </c>
      <c r="H494">
        <f t="shared" si="28"/>
        <v>3</v>
      </c>
      <c r="I494">
        <f t="shared" si="29"/>
        <v>1.25</v>
      </c>
      <c r="J494" s="35">
        <f t="shared" si="30"/>
        <v>1.75</v>
      </c>
      <c r="K494">
        <f t="shared" si="31"/>
        <v>2017.75</v>
      </c>
    </row>
    <row r="495" spans="1:11" x14ac:dyDescent="0.25">
      <c r="A495">
        <v>3</v>
      </c>
      <c r="B495">
        <v>578401</v>
      </c>
      <c r="C495" t="s">
        <v>3</v>
      </c>
      <c r="D495">
        <v>689</v>
      </c>
      <c r="E495" s="1">
        <v>43983</v>
      </c>
      <c r="F495">
        <v>3445</v>
      </c>
      <c r="G495">
        <v>1378</v>
      </c>
      <c r="H495">
        <f t="shared" si="28"/>
        <v>5</v>
      </c>
      <c r="I495">
        <f t="shared" si="29"/>
        <v>2</v>
      </c>
      <c r="J495" s="35">
        <f t="shared" si="30"/>
        <v>3</v>
      </c>
      <c r="K495">
        <f t="shared" si="31"/>
        <v>2067</v>
      </c>
    </row>
    <row r="496" spans="1:11" x14ac:dyDescent="0.25">
      <c r="A496">
        <v>2</v>
      </c>
      <c r="B496">
        <v>609418</v>
      </c>
      <c r="C496" t="s">
        <v>5</v>
      </c>
      <c r="D496">
        <v>567</v>
      </c>
      <c r="E496" s="1">
        <v>44075</v>
      </c>
      <c r="F496">
        <v>3402</v>
      </c>
      <c r="G496">
        <v>1559.25</v>
      </c>
      <c r="H496">
        <f t="shared" si="28"/>
        <v>6</v>
      </c>
      <c r="I496">
        <f t="shared" si="29"/>
        <v>2.75</v>
      </c>
      <c r="J496" s="35">
        <f t="shared" si="30"/>
        <v>3.25</v>
      </c>
      <c r="K496">
        <f t="shared" si="31"/>
        <v>1842.75</v>
      </c>
    </row>
    <row r="497" spans="1:11" x14ac:dyDescent="0.25">
      <c r="A497">
        <v>5</v>
      </c>
      <c r="B497">
        <v>456841</v>
      </c>
      <c r="C497" t="s">
        <v>3</v>
      </c>
      <c r="D497">
        <v>678</v>
      </c>
      <c r="E497" s="1">
        <v>44044</v>
      </c>
      <c r="F497">
        <v>3390</v>
      </c>
      <c r="G497">
        <v>1356</v>
      </c>
      <c r="H497">
        <f t="shared" si="28"/>
        <v>5</v>
      </c>
      <c r="I497">
        <f t="shared" si="29"/>
        <v>2</v>
      </c>
      <c r="J497" s="35">
        <f t="shared" si="30"/>
        <v>3</v>
      </c>
      <c r="K497">
        <f t="shared" si="31"/>
        <v>2034</v>
      </c>
    </row>
    <row r="498" spans="1:11" x14ac:dyDescent="0.25">
      <c r="A498">
        <v>5</v>
      </c>
      <c r="B498">
        <v>441711</v>
      </c>
      <c r="C498" t="s">
        <v>1</v>
      </c>
      <c r="D498">
        <v>1123</v>
      </c>
      <c r="E498" s="1">
        <v>43770</v>
      </c>
      <c r="F498">
        <v>3369</v>
      </c>
      <c r="G498">
        <v>1403.75</v>
      </c>
      <c r="H498">
        <f t="shared" si="28"/>
        <v>3</v>
      </c>
      <c r="I498">
        <f t="shared" si="29"/>
        <v>1.25</v>
      </c>
      <c r="J498" s="35">
        <f t="shared" si="30"/>
        <v>1.75</v>
      </c>
      <c r="K498">
        <f t="shared" si="31"/>
        <v>1965.25</v>
      </c>
    </row>
    <row r="499" spans="1:11" x14ac:dyDescent="0.25">
      <c r="A499">
        <v>1</v>
      </c>
      <c r="B499">
        <v>707858</v>
      </c>
      <c r="C499" t="s">
        <v>3</v>
      </c>
      <c r="D499">
        <v>671</v>
      </c>
      <c r="E499" s="1">
        <v>43739</v>
      </c>
      <c r="F499">
        <v>3355</v>
      </c>
      <c r="G499">
        <v>1342</v>
      </c>
      <c r="H499">
        <f t="shared" si="28"/>
        <v>5</v>
      </c>
      <c r="I499">
        <f t="shared" si="29"/>
        <v>2</v>
      </c>
      <c r="J499" s="35">
        <f t="shared" si="30"/>
        <v>3</v>
      </c>
      <c r="K499">
        <f t="shared" si="31"/>
        <v>2013</v>
      </c>
    </row>
    <row r="500" spans="1:11" x14ac:dyDescent="0.25">
      <c r="A500">
        <v>4</v>
      </c>
      <c r="B500">
        <v>397008</v>
      </c>
      <c r="C500" t="s">
        <v>4</v>
      </c>
      <c r="D500">
        <v>671</v>
      </c>
      <c r="E500" s="1">
        <v>43739</v>
      </c>
      <c r="F500">
        <v>3355</v>
      </c>
      <c r="G500">
        <v>1476.2</v>
      </c>
      <c r="H500">
        <f t="shared" si="28"/>
        <v>5</v>
      </c>
      <c r="I500">
        <f t="shared" si="29"/>
        <v>2.2000000000000002</v>
      </c>
      <c r="J500" s="35">
        <f t="shared" si="30"/>
        <v>2.8</v>
      </c>
      <c r="K500">
        <f t="shared" si="31"/>
        <v>1878.8</v>
      </c>
    </row>
    <row r="501" spans="1:11" x14ac:dyDescent="0.25">
      <c r="A501">
        <v>1</v>
      </c>
      <c r="B501">
        <v>197116</v>
      </c>
      <c r="C501" t="s">
        <v>5</v>
      </c>
      <c r="D501">
        <v>555</v>
      </c>
      <c r="E501" s="1">
        <v>43831</v>
      </c>
      <c r="F501">
        <v>3330</v>
      </c>
      <c r="G501">
        <v>1526.25</v>
      </c>
      <c r="H501">
        <f t="shared" si="28"/>
        <v>6</v>
      </c>
      <c r="I501">
        <f t="shared" si="29"/>
        <v>2.75</v>
      </c>
      <c r="J501" s="35">
        <f t="shared" si="30"/>
        <v>3.25</v>
      </c>
      <c r="K501">
        <f t="shared" si="31"/>
        <v>1803.75</v>
      </c>
    </row>
    <row r="502" spans="1:11" x14ac:dyDescent="0.25">
      <c r="A502">
        <v>1</v>
      </c>
      <c r="B502">
        <v>355733</v>
      </c>
      <c r="C502" t="s">
        <v>2</v>
      </c>
      <c r="D502">
        <v>831</v>
      </c>
      <c r="E502" s="1">
        <v>43952</v>
      </c>
      <c r="F502">
        <v>3324</v>
      </c>
      <c r="G502">
        <v>1246.5</v>
      </c>
      <c r="H502">
        <f t="shared" si="28"/>
        <v>4</v>
      </c>
      <c r="I502">
        <f t="shared" si="29"/>
        <v>1.5</v>
      </c>
      <c r="J502" s="35">
        <f t="shared" si="30"/>
        <v>2.5</v>
      </c>
      <c r="K502">
        <f t="shared" si="31"/>
        <v>2077.5</v>
      </c>
    </row>
    <row r="503" spans="1:11" x14ac:dyDescent="0.25">
      <c r="A503">
        <v>5</v>
      </c>
      <c r="B503">
        <v>847203</v>
      </c>
      <c r="C503" t="s">
        <v>3</v>
      </c>
      <c r="D503">
        <v>662</v>
      </c>
      <c r="E503" s="1">
        <v>43983</v>
      </c>
      <c r="F503">
        <v>3310</v>
      </c>
      <c r="G503">
        <v>1324</v>
      </c>
      <c r="H503">
        <f t="shared" si="28"/>
        <v>5</v>
      </c>
      <c r="I503">
        <f t="shared" si="29"/>
        <v>2</v>
      </c>
      <c r="J503" s="35">
        <f t="shared" si="30"/>
        <v>3</v>
      </c>
      <c r="K503">
        <f t="shared" si="31"/>
        <v>1986</v>
      </c>
    </row>
    <row r="504" spans="1:11" x14ac:dyDescent="0.25">
      <c r="A504">
        <v>3</v>
      </c>
      <c r="B504">
        <v>433084</v>
      </c>
      <c r="C504" t="s">
        <v>5</v>
      </c>
      <c r="D504">
        <v>547</v>
      </c>
      <c r="E504" s="1">
        <v>44136</v>
      </c>
      <c r="F504">
        <v>3282</v>
      </c>
      <c r="G504">
        <v>1504.25</v>
      </c>
      <c r="H504">
        <f t="shared" si="28"/>
        <v>6</v>
      </c>
      <c r="I504">
        <f t="shared" si="29"/>
        <v>2.75</v>
      </c>
      <c r="J504" s="35">
        <f t="shared" si="30"/>
        <v>3.25</v>
      </c>
      <c r="K504">
        <f t="shared" si="31"/>
        <v>1777.75</v>
      </c>
    </row>
    <row r="505" spans="1:11" x14ac:dyDescent="0.25">
      <c r="A505">
        <v>4</v>
      </c>
      <c r="B505">
        <v>865204</v>
      </c>
      <c r="C505" t="s">
        <v>2</v>
      </c>
      <c r="D505">
        <v>819</v>
      </c>
      <c r="E505" s="1">
        <v>44013</v>
      </c>
      <c r="F505">
        <v>3276</v>
      </c>
      <c r="G505">
        <v>1228.5</v>
      </c>
      <c r="H505">
        <f t="shared" si="28"/>
        <v>4</v>
      </c>
      <c r="I505">
        <f t="shared" si="29"/>
        <v>1.5</v>
      </c>
      <c r="J505" s="35">
        <f t="shared" si="30"/>
        <v>2.5</v>
      </c>
      <c r="K505">
        <f t="shared" si="31"/>
        <v>2047.5</v>
      </c>
    </row>
    <row r="506" spans="1:11" x14ac:dyDescent="0.25">
      <c r="A506">
        <v>5</v>
      </c>
      <c r="B506">
        <v>214845</v>
      </c>
      <c r="C506" t="s">
        <v>5</v>
      </c>
      <c r="D506">
        <v>544</v>
      </c>
      <c r="E506" s="1">
        <v>43800</v>
      </c>
      <c r="F506">
        <v>3264</v>
      </c>
      <c r="G506">
        <v>1496</v>
      </c>
      <c r="H506">
        <f t="shared" si="28"/>
        <v>6</v>
      </c>
      <c r="I506">
        <f t="shared" si="29"/>
        <v>2.75</v>
      </c>
      <c r="J506" s="35">
        <f t="shared" si="30"/>
        <v>3.25</v>
      </c>
      <c r="K506">
        <f t="shared" si="31"/>
        <v>1768</v>
      </c>
    </row>
    <row r="507" spans="1:11" x14ac:dyDescent="0.25">
      <c r="A507">
        <v>5</v>
      </c>
      <c r="B507">
        <v>372739</v>
      </c>
      <c r="C507" t="s">
        <v>2</v>
      </c>
      <c r="D507">
        <v>801</v>
      </c>
      <c r="E507" s="1">
        <v>44013</v>
      </c>
      <c r="F507">
        <v>3204</v>
      </c>
      <c r="G507">
        <v>1201.5</v>
      </c>
      <c r="H507">
        <f t="shared" si="28"/>
        <v>4</v>
      </c>
      <c r="I507">
        <f t="shared" si="29"/>
        <v>1.5</v>
      </c>
      <c r="J507" s="35">
        <f t="shared" si="30"/>
        <v>2.5</v>
      </c>
      <c r="K507">
        <f t="shared" si="31"/>
        <v>2002.5</v>
      </c>
    </row>
    <row r="508" spans="1:11" x14ac:dyDescent="0.25">
      <c r="A508">
        <v>3</v>
      </c>
      <c r="B508">
        <v>480891</v>
      </c>
      <c r="C508" t="s">
        <v>4</v>
      </c>
      <c r="D508">
        <v>635</v>
      </c>
      <c r="E508" s="1">
        <v>44166</v>
      </c>
      <c r="F508">
        <v>3175</v>
      </c>
      <c r="G508">
        <v>1397</v>
      </c>
      <c r="H508">
        <f t="shared" si="28"/>
        <v>5</v>
      </c>
      <c r="I508">
        <f t="shared" si="29"/>
        <v>2.2000000000000002</v>
      </c>
      <c r="J508" s="35">
        <f t="shared" si="30"/>
        <v>2.8</v>
      </c>
      <c r="K508">
        <f t="shared" si="31"/>
        <v>1778</v>
      </c>
    </row>
    <row r="509" spans="1:11" x14ac:dyDescent="0.25">
      <c r="A509">
        <v>5</v>
      </c>
      <c r="B509">
        <v>242657</v>
      </c>
      <c r="C509" t="s">
        <v>2</v>
      </c>
      <c r="D509">
        <v>792</v>
      </c>
      <c r="E509" s="1">
        <v>43891</v>
      </c>
      <c r="F509">
        <v>3168</v>
      </c>
      <c r="G509">
        <v>1188</v>
      </c>
      <c r="H509">
        <f t="shared" si="28"/>
        <v>4</v>
      </c>
      <c r="I509">
        <f t="shared" si="29"/>
        <v>1.5</v>
      </c>
      <c r="J509" s="35">
        <f t="shared" si="30"/>
        <v>2.5</v>
      </c>
      <c r="K509">
        <f t="shared" si="31"/>
        <v>1980</v>
      </c>
    </row>
    <row r="510" spans="1:11" x14ac:dyDescent="0.25">
      <c r="A510">
        <v>2</v>
      </c>
      <c r="B510">
        <v>183779</v>
      </c>
      <c r="C510" t="s">
        <v>4</v>
      </c>
      <c r="D510">
        <v>615</v>
      </c>
      <c r="E510" s="1">
        <v>44166</v>
      </c>
      <c r="F510">
        <v>3075</v>
      </c>
      <c r="G510">
        <v>1353</v>
      </c>
      <c r="H510">
        <f t="shared" si="28"/>
        <v>5</v>
      </c>
      <c r="I510">
        <f t="shared" si="29"/>
        <v>2.2000000000000002</v>
      </c>
      <c r="J510" s="35">
        <f t="shared" si="30"/>
        <v>2.8</v>
      </c>
      <c r="K510">
        <f t="shared" si="31"/>
        <v>1722</v>
      </c>
    </row>
    <row r="511" spans="1:11" x14ac:dyDescent="0.25">
      <c r="A511">
        <v>3</v>
      </c>
      <c r="B511">
        <v>576749</v>
      </c>
      <c r="C511" t="s">
        <v>2</v>
      </c>
      <c r="D511">
        <v>766</v>
      </c>
      <c r="E511" s="1">
        <v>43739</v>
      </c>
      <c r="F511">
        <v>3064</v>
      </c>
      <c r="G511">
        <v>1149</v>
      </c>
      <c r="H511">
        <f t="shared" si="28"/>
        <v>4</v>
      </c>
      <c r="I511">
        <f t="shared" si="29"/>
        <v>1.5</v>
      </c>
      <c r="J511" s="35">
        <f t="shared" si="30"/>
        <v>2.5</v>
      </c>
      <c r="K511">
        <f t="shared" si="31"/>
        <v>1915</v>
      </c>
    </row>
    <row r="512" spans="1:11" x14ac:dyDescent="0.25">
      <c r="A512">
        <v>4</v>
      </c>
      <c r="B512">
        <v>581762</v>
      </c>
      <c r="C512" t="s">
        <v>5</v>
      </c>
      <c r="D512">
        <v>510</v>
      </c>
      <c r="E512" s="1">
        <v>43922</v>
      </c>
      <c r="F512">
        <v>3060</v>
      </c>
      <c r="G512">
        <v>1402.5</v>
      </c>
      <c r="H512">
        <f t="shared" si="28"/>
        <v>6</v>
      </c>
      <c r="I512">
        <f t="shared" si="29"/>
        <v>2.75</v>
      </c>
      <c r="J512" s="35">
        <f t="shared" si="30"/>
        <v>3.25</v>
      </c>
      <c r="K512">
        <f t="shared" si="31"/>
        <v>1657.5</v>
      </c>
    </row>
    <row r="513" spans="1:11" x14ac:dyDescent="0.25">
      <c r="A513">
        <v>5</v>
      </c>
      <c r="B513">
        <v>208723</v>
      </c>
      <c r="C513" t="s">
        <v>1</v>
      </c>
      <c r="D513">
        <v>1010</v>
      </c>
      <c r="E513" s="1">
        <v>44105</v>
      </c>
      <c r="F513">
        <v>3030</v>
      </c>
      <c r="G513">
        <v>1262.5</v>
      </c>
      <c r="H513">
        <f t="shared" si="28"/>
        <v>3</v>
      </c>
      <c r="I513">
        <f t="shared" si="29"/>
        <v>1.25</v>
      </c>
      <c r="J513" s="35">
        <f t="shared" si="30"/>
        <v>1.75</v>
      </c>
      <c r="K513">
        <f t="shared" si="31"/>
        <v>1767.5</v>
      </c>
    </row>
    <row r="514" spans="1:11" x14ac:dyDescent="0.25">
      <c r="A514">
        <v>5</v>
      </c>
      <c r="B514">
        <v>808356</v>
      </c>
      <c r="C514" t="s">
        <v>1</v>
      </c>
      <c r="D514">
        <v>1005</v>
      </c>
      <c r="E514" s="1">
        <v>43709</v>
      </c>
      <c r="F514">
        <v>3015</v>
      </c>
      <c r="G514">
        <v>1256.25</v>
      </c>
      <c r="H514">
        <f t="shared" si="28"/>
        <v>3</v>
      </c>
      <c r="I514">
        <f t="shared" si="29"/>
        <v>1.25</v>
      </c>
      <c r="J514" s="35">
        <f t="shared" si="30"/>
        <v>1.75</v>
      </c>
      <c r="K514">
        <f t="shared" si="31"/>
        <v>1758.75</v>
      </c>
    </row>
    <row r="515" spans="1:11" x14ac:dyDescent="0.25">
      <c r="A515">
        <v>2</v>
      </c>
      <c r="B515">
        <v>369627</v>
      </c>
      <c r="C515" t="s">
        <v>3</v>
      </c>
      <c r="D515">
        <v>602</v>
      </c>
      <c r="E515" s="1">
        <v>43983</v>
      </c>
      <c r="F515">
        <v>3010</v>
      </c>
      <c r="G515">
        <v>1204</v>
      </c>
      <c r="H515">
        <f t="shared" ref="H515:H578" si="32">F515/D515</f>
        <v>5</v>
      </c>
      <c r="I515">
        <f t="shared" ref="I515:I578" si="33">G515/D515</f>
        <v>2</v>
      </c>
      <c r="J515" s="35">
        <f t="shared" ref="J515:J578" si="34">H515-I515</f>
        <v>3</v>
      </c>
      <c r="K515">
        <f t="shared" ref="K515:K578" si="35">D515*J515</f>
        <v>1806</v>
      </c>
    </row>
    <row r="516" spans="1:11" x14ac:dyDescent="0.25">
      <c r="A516">
        <v>1</v>
      </c>
      <c r="B516">
        <v>600167</v>
      </c>
      <c r="C516" t="s">
        <v>5</v>
      </c>
      <c r="D516">
        <v>500</v>
      </c>
      <c r="E516" s="1">
        <v>43891</v>
      </c>
      <c r="F516">
        <v>3000</v>
      </c>
      <c r="G516">
        <v>1375</v>
      </c>
      <c r="H516">
        <f t="shared" si="32"/>
        <v>6</v>
      </c>
      <c r="I516">
        <f t="shared" si="33"/>
        <v>2.75</v>
      </c>
      <c r="J516" s="35">
        <f t="shared" si="34"/>
        <v>3.25</v>
      </c>
      <c r="K516">
        <f t="shared" si="35"/>
        <v>1625</v>
      </c>
    </row>
    <row r="517" spans="1:11" x14ac:dyDescent="0.25">
      <c r="A517">
        <v>3</v>
      </c>
      <c r="B517">
        <v>295198</v>
      </c>
      <c r="C517" t="s">
        <v>0</v>
      </c>
      <c r="D517">
        <v>2996</v>
      </c>
      <c r="E517" s="1">
        <v>43739</v>
      </c>
      <c r="F517">
        <v>2996</v>
      </c>
      <c r="G517">
        <v>1498</v>
      </c>
      <c r="H517">
        <f t="shared" si="32"/>
        <v>1</v>
      </c>
      <c r="I517">
        <f t="shared" si="33"/>
        <v>0.5</v>
      </c>
      <c r="J517" s="35">
        <f t="shared" si="34"/>
        <v>0.5</v>
      </c>
      <c r="K517">
        <f t="shared" si="35"/>
        <v>1498</v>
      </c>
    </row>
    <row r="518" spans="1:11" x14ac:dyDescent="0.25">
      <c r="A518">
        <v>5</v>
      </c>
      <c r="B518">
        <v>644686</v>
      </c>
      <c r="C518" t="s">
        <v>0</v>
      </c>
      <c r="D518">
        <v>2992</v>
      </c>
      <c r="E518" s="1">
        <v>43739</v>
      </c>
      <c r="F518">
        <v>2992</v>
      </c>
      <c r="G518">
        <v>1496</v>
      </c>
      <c r="H518">
        <f t="shared" si="32"/>
        <v>1</v>
      </c>
      <c r="I518">
        <f t="shared" si="33"/>
        <v>0.5</v>
      </c>
      <c r="J518" s="35">
        <f t="shared" si="34"/>
        <v>0.5</v>
      </c>
      <c r="K518">
        <f t="shared" si="35"/>
        <v>1496</v>
      </c>
    </row>
    <row r="519" spans="1:11" x14ac:dyDescent="0.25">
      <c r="A519">
        <v>1</v>
      </c>
      <c r="B519">
        <v>178855</v>
      </c>
      <c r="C519" t="s">
        <v>2</v>
      </c>
      <c r="D519">
        <v>742.5</v>
      </c>
      <c r="E519" s="1">
        <v>43922</v>
      </c>
      <c r="F519">
        <v>2970</v>
      </c>
      <c r="G519">
        <v>1113.75</v>
      </c>
      <c r="H519">
        <f t="shared" si="32"/>
        <v>4</v>
      </c>
      <c r="I519">
        <f t="shared" si="33"/>
        <v>1.5</v>
      </c>
      <c r="J519" s="35">
        <f t="shared" si="34"/>
        <v>2.5</v>
      </c>
      <c r="K519">
        <f t="shared" si="35"/>
        <v>1856.25</v>
      </c>
    </row>
    <row r="520" spans="1:11" x14ac:dyDescent="0.25">
      <c r="A520">
        <v>1</v>
      </c>
      <c r="B520">
        <v>305275</v>
      </c>
      <c r="C520" t="s">
        <v>1</v>
      </c>
      <c r="D520">
        <v>986</v>
      </c>
      <c r="E520" s="1">
        <v>44105</v>
      </c>
      <c r="F520">
        <v>2958</v>
      </c>
      <c r="G520">
        <v>1232.5</v>
      </c>
      <c r="H520">
        <f t="shared" si="32"/>
        <v>3</v>
      </c>
      <c r="I520">
        <f t="shared" si="33"/>
        <v>1.25</v>
      </c>
      <c r="J520" s="35">
        <f t="shared" si="34"/>
        <v>1.75</v>
      </c>
      <c r="K520">
        <f t="shared" si="35"/>
        <v>1725.5</v>
      </c>
    </row>
    <row r="521" spans="1:11" x14ac:dyDescent="0.25">
      <c r="A521">
        <v>2</v>
      </c>
      <c r="B521">
        <v>354480</v>
      </c>
      <c r="C521" t="s">
        <v>1</v>
      </c>
      <c r="D521">
        <v>986</v>
      </c>
      <c r="E521" s="1">
        <v>44075</v>
      </c>
      <c r="F521">
        <v>2958</v>
      </c>
      <c r="G521">
        <v>1232.5</v>
      </c>
      <c r="H521">
        <f t="shared" si="32"/>
        <v>3</v>
      </c>
      <c r="I521">
        <f t="shared" si="33"/>
        <v>1.25</v>
      </c>
      <c r="J521" s="35">
        <f t="shared" si="34"/>
        <v>1.75</v>
      </c>
      <c r="K521">
        <f t="shared" si="35"/>
        <v>1725.5</v>
      </c>
    </row>
    <row r="522" spans="1:11" x14ac:dyDescent="0.25">
      <c r="A522">
        <v>4</v>
      </c>
      <c r="B522">
        <v>197639</v>
      </c>
      <c r="C522" t="s">
        <v>3</v>
      </c>
      <c r="D522">
        <v>591</v>
      </c>
      <c r="E522" s="1">
        <v>43952</v>
      </c>
      <c r="F522">
        <v>2955</v>
      </c>
      <c r="G522">
        <v>1182</v>
      </c>
      <c r="H522">
        <f t="shared" si="32"/>
        <v>5</v>
      </c>
      <c r="I522">
        <f t="shared" si="33"/>
        <v>2</v>
      </c>
      <c r="J522" s="35">
        <f t="shared" si="34"/>
        <v>3</v>
      </c>
      <c r="K522">
        <f t="shared" si="35"/>
        <v>1773</v>
      </c>
    </row>
    <row r="523" spans="1:11" x14ac:dyDescent="0.25">
      <c r="A523">
        <v>5</v>
      </c>
      <c r="B523">
        <v>421883</v>
      </c>
      <c r="C523" t="s">
        <v>2</v>
      </c>
      <c r="D523">
        <v>727</v>
      </c>
      <c r="E523" s="1">
        <v>43862</v>
      </c>
      <c r="F523">
        <v>2908</v>
      </c>
      <c r="G523">
        <v>1090.5</v>
      </c>
      <c r="H523">
        <f t="shared" si="32"/>
        <v>4</v>
      </c>
      <c r="I523">
        <f t="shared" si="33"/>
        <v>1.5</v>
      </c>
      <c r="J523" s="35">
        <f t="shared" si="34"/>
        <v>2.5</v>
      </c>
      <c r="K523">
        <f t="shared" si="35"/>
        <v>1817.5</v>
      </c>
    </row>
    <row r="524" spans="1:11" x14ac:dyDescent="0.25">
      <c r="A524">
        <v>4</v>
      </c>
      <c r="B524">
        <v>884057</v>
      </c>
      <c r="C524" t="s">
        <v>4</v>
      </c>
      <c r="D524">
        <v>579</v>
      </c>
      <c r="E524" s="1">
        <v>43831</v>
      </c>
      <c r="F524">
        <v>2895</v>
      </c>
      <c r="G524">
        <v>1273.8000000000002</v>
      </c>
      <c r="H524">
        <f t="shared" si="32"/>
        <v>5</v>
      </c>
      <c r="I524">
        <f t="shared" si="33"/>
        <v>2.2000000000000002</v>
      </c>
      <c r="J524" s="35">
        <f t="shared" si="34"/>
        <v>2.8</v>
      </c>
      <c r="K524">
        <f t="shared" si="35"/>
        <v>1621.1999999999998</v>
      </c>
    </row>
    <row r="525" spans="1:11" x14ac:dyDescent="0.25">
      <c r="A525">
        <v>5</v>
      </c>
      <c r="B525">
        <v>619210</v>
      </c>
      <c r="C525" t="s">
        <v>1</v>
      </c>
      <c r="D525">
        <v>959</v>
      </c>
      <c r="E525" s="1">
        <v>43862</v>
      </c>
      <c r="F525">
        <v>2877</v>
      </c>
      <c r="G525">
        <v>1198.75</v>
      </c>
      <c r="H525">
        <f t="shared" si="32"/>
        <v>3</v>
      </c>
      <c r="I525">
        <f t="shared" si="33"/>
        <v>1.25</v>
      </c>
      <c r="J525" s="35">
        <f t="shared" si="34"/>
        <v>1.75</v>
      </c>
      <c r="K525">
        <f t="shared" si="35"/>
        <v>1678.25</v>
      </c>
    </row>
    <row r="526" spans="1:11" x14ac:dyDescent="0.25">
      <c r="A526">
        <v>4</v>
      </c>
      <c r="B526">
        <v>868182</v>
      </c>
      <c r="C526" t="s">
        <v>3</v>
      </c>
      <c r="D526">
        <v>571</v>
      </c>
      <c r="E526" s="1">
        <v>44013</v>
      </c>
      <c r="F526">
        <v>2855</v>
      </c>
      <c r="G526">
        <v>1142</v>
      </c>
      <c r="H526">
        <f t="shared" si="32"/>
        <v>5</v>
      </c>
      <c r="I526">
        <f t="shared" si="33"/>
        <v>2</v>
      </c>
      <c r="J526" s="35">
        <f t="shared" si="34"/>
        <v>3</v>
      </c>
      <c r="K526">
        <f t="shared" si="35"/>
        <v>1713</v>
      </c>
    </row>
    <row r="527" spans="1:11" x14ac:dyDescent="0.25">
      <c r="A527">
        <v>3</v>
      </c>
      <c r="B527">
        <v>873031</v>
      </c>
      <c r="C527" t="s">
        <v>0</v>
      </c>
      <c r="D527">
        <v>2851</v>
      </c>
      <c r="E527" s="1">
        <v>43739</v>
      </c>
      <c r="F527">
        <v>2851</v>
      </c>
      <c r="G527">
        <v>1425.5</v>
      </c>
      <c r="H527">
        <f t="shared" si="32"/>
        <v>1</v>
      </c>
      <c r="I527">
        <f t="shared" si="33"/>
        <v>0.5</v>
      </c>
      <c r="J527" s="35">
        <f t="shared" si="34"/>
        <v>0.5</v>
      </c>
      <c r="K527">
        <f t="shared" si="35"/>
        <v>1425.5</v>
      </c>
    </row>
    <row r="528" spans="1:11" x14ac:dyDescent="0.25">
      <c r="A528">
        <v>2</v>
      </c>
      <c r="B528">
        <v>885051</v>
      </c>
      <c r="C528" t="s">
        <v>5</v>
      </c>
      <c r="D528">
        <v>472</v>
      </c>
      <c r="E528" s="1">
        <v>44105</v>
      </c>
      <c r="F528">
        <v>2832</v>
      </c>
      <c r="G528">
        <v>1298</v>
      </c>
      <c r="H528">
        <f t="shared" si="32"/>
        <v>6</v>
      </c>
      <c r="I528">
        <f t="shared" si="33"/>
        <v>2.75</v>
      </c>
      <c r="J528" s="35">
        <f t="shared" si="34"/>
        <v>3.25</v>
      </c>
      <c r="K528">
        <f t="shared" si="35"/>
        <v>1534</v>
      </c>
    </row>
    <row r="529" spans="1:11" x14ac:dyDescent="0.25">
      <c r="A529">
        <v>1</v>
      </c>
      <c r="B529">
        <v>540473</v>
      </c>
      <c r="C529" t="s">
        <v>1</v>
      </c>
      <c r="D529">
        <v>943.5</v>
      </c>
      <c r="E529" s="1">
        <v>43922</v>
      </c>
      <c r="F529">
        <v>2830.5</v>
      </c>
      <c r="G529">
        <v>1179.375</v>
      </c>
      <c r="H529">
        <f t="shared" si="32"/>
        <v>3</v>
      </c>
      <c r="I529">
        <f t="shared" si="33"/>
        <v>1.25</v>
      </c>
      <c r="J529" s="35">
        <f t="shared" si="34"/>
        <v>1.75</v>
      </c>
      <c r="K529">
        <f t="shared" si="35"/>
        <v>1651.125</v>
      </c>
    </row>
    <row r="530" spans="1:11" x14ac:dyDescent="0.25">
      <c r="A530">
        <v>3</v>
      </c>
      <c r="B530">
        <v>390387</v>
      </c>
      <c r="C530" t="s">
        <v>0</v>
      </c>
      <c r="D530">
        <v>2797</v>
      </c>
      <c r="E530" s="1">
        <v>44166</v>
      </c>
      <c r="F530">
        <v>2797</v>
      </c>
      <c r="G530">
        <v>1398.5</v>
      </c>
      <c r="H530">
        <f t="shared" si="32"/>
        <v>1</v>
      </c>
      <c r="I530">
        <f t="shared" si="33"/>
        <v>0.5</v>
      </c>
      <c r="J530" s="35">
        <f t="shared" si="34"/>
        <v>0.5</v>
      </c>
      <c r="K530">
        <f t="shared" si="35"/>
        <v>1398.5</v>
      </c>
    </row>
    <row r="531" spans="1:11" x14ac:dyDescent="0.25">
      <c r="A531">
        <v>4</v>
      </c>
      <c r="B531">
        <v>399302</v>
      </c>
      <c r="C531" t="s">
        <v>4</v>
      </c>
      <c r="D531">
        <v>552</v>
      </c>
      <c r="E531" s="1">
        <v>44044</v>
      </c>
      <c r="F531">
        <v>2760</v>
      </c>
      <c r="G531">
        <v>1214.4000000000001</v>
      </c>
      <c r="H531">
        <f t="shared" si="32"/>
        <v>5</v>
      </c>
      <c r="I531">
        <f t="shared" si="33"/>
        <v>2.2000000000000002</v>
      </c>
      <c r="J531" s="35">
        <f t="shared" si="34"/>
        <v>2.8</v>
      </c>
      <c r="K531">
        <f t="shared" si="35"/>
        <v>1545.6</v>
      </c>
    </row>
    <row r="532" spans="1:11" x14ac:dyDescent="0.25">
      <c r="A532">
        <v>3</v>
      </c>
      <c r="B532">
        <v>745878</v>
      </c>
      <c r="C532" t="s">
        <v>2</v>
      </c>
      <c r="D532">
        <v>689</v>
      </c>
      <c r="E532" s="1">
        <v>43983</v>
      </c>
      <c r="F532">
        <v>2756</v>
      </c>
      <c r="G532">
        <v>1033.5</v>
      </c>
      <c r="H532">
        <f t="shared" si="32"/>
        <v>4</v>
      </c>
      <c r="I532">
        <f t="shared" si="33"/>
        <v>1.5</v>
      </c>
      <c r="J532" s="35">
        <f t="shared" si="34"/>
        <v>2.5</v>
      </c>
      <c r="K532">
        <f t="shared" si="35"/>
        <v>1722.5</v>
      </c>
    </row>
    <row r="533" spans="1:11" x14ac:dyDescent="0.25">
      <c r="A533">
        <v>1</v>
      </c>
      <c r="B533">
        <v>738711</v>
      </c>
      <c r="C533" t="s">
        <v>3</v>
      </c>
      <c r="D533">
        <v>549</v>
      </c>
      <c r="E533" s="1">
        <v>43709</v>
      </c>
      <c r="F533">
        <v>2745</v>
      </c>
      <c r="G533">
        <v>1098</v>
      </c>
      <c r="H533">
        <f t="shared" si="32"/>
        <v>5</v>
      </c>
      <c r="I533">
        <f t="shared" si="33"/>
        <v>2</v>
      </c>
      <c r="J533" s="35">
        <f t="shared" si="34"/>
        <v>3</v>
      </c>
      <c r="K533">
        <f t="shared" si="35"/>
        <v>1647</v>
      </c>
    </row>
    <row r="534" spans="1:11" x14ac:dyDescent="0.25">
      <c r="A534">
        <v>2</v>
      </c>
      <c r="B534">
        <v>533611</v>
      </c>
      <c r="C534" t="s">
        <v>0</v>
      </c>
      <c r="D534">
        <v>2734</v>
      </c>
      <c r="E534" s="1">
        <v>44105</v>
      </c>
      <c r="F534">
        <v>2734</v>
      </c>
      <c r="G534">
        <v>1367</v>
      </c>
      <c r="H534">
        <f t="shared" si="32"/>
        <v>1</v>
      </c>
      <c r="I534">
        <f t="shared" si="33"/>
        <v>0.5</v>
      </c>
      <c r="J534" s="35">
        <f t="shared" si="34"/>
        <v>0.5</v>
      </c>
      <c r="K534">
        <f t="shared" si="35"/>
        <v>1367</v>
      </c>
    </row>
    <row r="535" spans="1:11" x14ac:dyDescent="0.25">
      <c r="A535">
        <v>3</v>
      </c>
      <c r="B535">
        <v>578917</v>
      </c>
      <c r="C535" t="s">
        <v>4</v>
      </c>
      <c r="D535">
        <v>546</v>
      </c>
      <c r="E535" s="1">
        <v>44105</v>
      </c>
      <c r="F535">
        <v>2730</v>
      </c>
      <c r="G535">
        <v>1201.2</v>
      </c>
      <c r="H535">
        <f t="shared" si="32"/>
        <v>5</v>
      </c>
      <c r="I535">
        <f t="shared" si="33"/>
        <v>2.2000000000000002</v>
      </c>
      <c r="J535" s="35">
        <f t="shared" si="34"/>
        <v>2.8</v>
      </c>
      <c r="K535">
        <f t="shared" si="35"/>
        <v>1528.8</v>
      </c>
    </row>
    <row r="536" spans="1:11" x14ac:dyDescent="0.25">
      <c r="A536">
        <v>5</v>
      </c>
      <c r="B536">
        <v>128675</v>
      </c>
      <c r="C536" t="s">
        <v>0</v>
      </c>
      <c r="D536">
        <v>2723</v>
      </c>
      <c r="E536" s="1">
        <v>44136</v>
      </c>
      <c r="F536">
        <v>2723</v>
      </c>
      <c r="G536">
        <v>1361.5</v>
      </c>
      <c r="H536">
        <f t="shared" si="32"/>
        <v>1</v>
      </c>
      <c r="I536">
        <f t="shared" si="33"/>
        <v>0.5</v>
      </c>
      <c r="J536" s="35">
        <f t="shared" si="34"/>
        <v>0.5</v>
      </c>
      <c r="K536">
        <f t="shared" si="35"/>
        <v>1361.5</v>
      </c>
    </row>
    <row r="537" spans="1:11" x14ac:dyDescent="0.25">
      <c r="A537">
        <v>4</v>
      </c>
      <c r="B537">
        <v>252717</v>
      </c>
      <c r="C537" t="s">
        <v>0</v>
      </c>
      <c r="D537">
        <v>2665.5</v>
      </c>
      <c r="E537" s="1">
        <v>44013</v>
      </c>
      <c r="F537">
        <v>2665.5</v>
      </c>
      <c r="G537">
        <v>1332.75</v>
      </c>
      <c r="H537">
        <f t="shared" si="32"/>
        <v>1</v>
      </c>
      <c r="I537">
        <f t="shared" si="33"/>
        <v>0.5</v>
      </c>
      <c r="J537" s="35">
        <f t="shared" si="34"/>
        <v>0.5</v>
      </c>
      <c r="K537">
        <f t="shared" si="35"/>
        <v>1332.75</v>
      </c>
    </row>
    <row r="538" spans="1:11" x14ac:dyDescent="0.25">
      <c r="A538">
        <v>3</v>
      </c>
      <c r="B538">
        <v>641259</v>
      </c>
      <c r="C538" t="s">
        <v>1</v>
      </c>
      <c r="D538">
        <v>888</v>
      </c>
      <c r="E538" s="1">
        <v>43983</v>
      </c>
      <c r="F538">
        <v>2664</v>
      </c>
      <c r="G538">
        <v>1110</v>
      </c>
      <c r="H538">
        <f t="shared" si="32"/>
        <v>3</v>
      </c>
      <c r="I538">
        <f t="shared" si="33"/>
        <v>1.25</v>
      </c>
      <c r="J538" s="35">
        <f t="shared" si="34"/>
        <v>1.75</v>
      </c>
      <c r="K538">
        <f t="shared" si="35"/>
        <v>1554</v>
      </c>
    </row>
    <row r="539" spans="1:11" x14ac:dyDescent="0.25">
      <c r="A539">
        <v>1</v>
      </c>
      <c r="B539">
        <v>200053</v>
      </c>
      <c r="C539" t="s">
        <v>0</v>
      </c>
      <c r="D539">
        <v>2661</v>
      </c>
      <c r="E539" s="1">
        <v>43952</v>
      </c>
      <c r="F539">
        <v>2661</v>
      </c>
      <c r="G539">
        <v>1330.5</v>
      </c>
      <c r="H539">
        <f t="shared" si="32"/>
        <v>1</v>
      </c>
      <c r="I539">
        <f t="shared" si="33"/>
        <v>0.5</v>
      </c>
      <c r="J539" s="35">
        <f t="shared" si="34"/>
        <v>0.5</v>
      </c>
      <c r="K539">
        <f t="shared" si="35"/>
        <v>1330.5</v>
      </c>
    </row>
    <row r="540" spans="1:11" x14ac:dyDescent="0.25">
      <c r="A540">
        <v>5</v>
      </c>
      <c r="B540">
        <v>273665</v>
      </c>
      <c r="C540" t="s">
        <v>2</v>
      </c>
      <c r="D540">
        <v>663</v>
      </c>
      <c r="E540" s="1">
        <v>43952</v>
      </c>
      <c r="F540">
        <v>2652</v>
      </c>
      <c r="G540">
        <v>994.5</v>
      </c>
      <c r="H540">
        <f t="shared" si="32"/>
        <v>4</v>
      </c>
      <c r="I540">
        <f t="shared" si="33"/>
        <v>1.5</v>
      </c>
      <c r="J540" s="35">
        <f t="shared" si="34"/>
        <v>2.5</v>
      </c>
      <c r="K540">
        <f t="shared" si="35"/>
        <v>1657.5</v>
      </c>
    </row>
    <row r="541" spans="1:11" x14ac:dyDescent="0.25">
      <c r="A541">
        <v>3</v>
      </c>
      <c r="B541">
        <v>747194</v>
      </c>
      <c r="C541" t="s">
        <v>1</v>
      </c>
      <c r="D541">
        <v>880</v>
      </c>
      <c r="E541" s="1">
        <v>43952</v>
      </c>
      <c r="F541">
        <v>2640</v>
      </c>
      <c r="G541">
        <v>1100</v>
      </c>
      <c r="H541">
        <f t="shared" si="32"/>
        <v>3</v>
      </c>
      <c r="I541">
        <f t="shared" si="33"/>
        <v>1.25</v>
      </c>
      <c r="J541" s="35">
        <f t="shared" si="34"/>
        <v>1.75</v>
      </c>
      <c r="K541">
        <f t="shared" si="35"/>
        <v>1540</v>
      </c>
    </row>
    <row r="542" spans="1:11" x14ac:dyDescent="0.25">
      <c r="A542">
        <v>3</v>
      </c>
      <c r="B542">
        <v>867837</v>
      </c>
      <c r="C542" t="s">
        <v>1</v>
      </c>
      <c r="D542">
        <v>877</v>
      </c>
      <c r="E542" s="1">
        <v>44136</v>
      </c>
      <c r="F542">
        <v>2631</v>
      </c>
      <c r="G542">
        <v>1096.25</v>
      </c>
      <c r="H542">
        <f t="shared" si="32"/>
        <v>3</v>
      </c>
      <c r="I542">
        <f t="shared" si="33"/>
        <v>1.25</v>
      </c>
      <c r="J542" s="35">
        <f t="shared" si="34"/>
        <v>1.75</v>
      </c>
      <c r="K542">
        <f t="shared" si="35"/>
        <v>1534.75</v>
      </c>
    </row>
    <row r="543" spans="1:11" x14ac:dyDescent="0.25">
      <c r="A543">
        <v>5</v>
      </c>
      <c r="B543">
        <v>818048</v>
      </c>
      <c r="C543" t="s">
        <v>1</v>
      </c>
      <c r="D543">
        <v>866</v>
      </c>
      <c r="E543" s="1">
        <v>43952</v>
      </c>
      <c r="F543">
        <v>2598</v>
      </c>
      <c r="G543">
        <v>1082.5</v>
      </c>
      <c r="H543">
        <f t="shared" si="32"/>
        <v>3</v>
      </c>
      <c r="I543">
        <f t="shared" si="33"/>
        <v>1.25</v>
      </c>
      <c r="J543" s="35">
        <f t="shared" si="34"/>
        <v>1.75</v>
      </c>
      <c r="K543">
        <f t="shared" si="35"/>
        <v>1515.5</v>
      </c>
    </row>
    <row r="544" spans="1:11" x14ac:dyDescent="0.25">
      <c r="A544">
        <v>1</v>
      </c>
      <c r="B544">
        <v>213778</v>
      </c>
      <c r="C544" t="s">
        <v>1</v>
      </c>
      <c r="D544">
        <v>865.5</v>
      </c>
      <c r="E544" s="1">
        <v>44013</v>
      </c>
      <c r="F544">
        <v>2596.5</v>
      </c>
      <c r="G544">
        <v>1081.875</v>
      </c>
      <c r="H544">
        <f t="shared" si="32"/>
        <v>3</v>
      </c>
      <c r="I544">
        <f t="shared" si="33"/>
        <v>1.25</v>
      </c>
      <c r="J544" s="35">
        <f t="shared" si="34"/>
        <v>1.75</v>
      </c>
      <c r="K544">
        <f t="shared" si="35"/>
        <v>1514.625</v>
      </c>
    </row>
    <row r="545" spans="1:11" x14ac:dyDescent="0.25">
      <c r="A545">
        <v>3</v>
      </c>
      <c r="B545">
        <v>830805</v>
      </c>
      <c r="C545" t="s">
        <v>0</v>
      </c>
      <c r="D545">
        <v>2518</v>
      </c>
      <c r="E545" s="1">
        <v>43983</v>
      </c>
      <c r="F545">
        <v>2518</v>
      </c>
      <c r="G545">
        <v>1259</v>
      </c>
      <c r="H545">
        <f t="shared" si="32"/>
        <v>1</v>
      </c>
      <c r="I545">
        <f t="shared" si="33"/>
        <v>0.5</v>
      </c>
      <c r="J545" s="35">
        <f t="shared" si="34"/>
        <v>0.5</v>
      </c>
      <c r="K545">
        <f t="shared" si="35"/>
        <v>1259</v>
      </c>
    </row>
    <row r="546" spans="1:11" x14ac:dyDescent="0.25">
      <c r="A546">
        <v>2</v>
      </c>
      <c r="B546">
        <v>179673</v>
      </c>
      <c r="C546" t="s">
        <v>0</v>
      </c>
      <c r="D546">
        <v>2501</v>
      </c>
      <c r="E546" s="1">
        <v>43891</v>
      </c>
      <c r="F546">
        <v>2501</v>
      </c>
      <c r="G546">
        <v>1250.5</v>
      </c>
      <c r="H546">
        <f t="shared" si="32"/>
        <v>1</v>
      </c>
      <c r="I546">
        <f t="shared" si="33"/>
        <v>0.5</v>
      </c>
      <c r="J546" s="35">
        <f t="shared" si="34"/>
        <v>0.5</v>
      </c>
      <c r="K546">
        <f t="shared" si="35"/>
        <v>1250.5</v>
      </c>
    </row>
    <row r="547" spans="1:11" x14ac:dyDescent="0.25">
      <c r="A547">
        <v>4</v>
      </c>
      <c r="B547">
        <v>443834</v>
      </c>
      <c r="C547" t="s">
        <v>0</v>
      </c>
      <c r="D547">
        <v>2500</v>
      </c>
      <c r="E547" s="1">
        <v>43770</v>
      </c>
      <c r="F547">
        <v>2500</v>
      </c>
      <c r="G547">
        <v>1250</v>
      </c>
      <c r="H547">
        <f t="shared" si="32"/>
        <v>1</v>
      </c>
      <c r="I547">
        <f t="shared" si="33"/>
        <v>0.5</v>
      </c>
      <c r="J547" s="35">
        <f t="shared" si="34"/>
        <v>0.5</v>
      </c>
      <c r="K547">
        <f t="shared" si="35"/>
        <v>1250</v>
      </c>
    </row>
    <row r="548" spans="1:11" x14ac:dyDescent="0.25">
      <c r="A548">
        <v>3</v>
      </c>
      <c r="B548">
        <v>539666</v>
      </c>
      <c r="C548" t="s">
        <v>0</v>
      </c>
      <c r="D548">
        <v>2498</v>
      </c>
      <c r="E548" s="1">
        <v>43709</v>
      </c>
      <c r="F548">
        <v>2498</v>
      </c>
      <c r="G548">
        <v>1249</v>
      </c>
      <c r="H548">
        <f t="shared" si="32"/>
        <v>1</v>
      </c>
      <c r="I548">
        <f t="shared" si="33"/>
        <v>0.5</v>
      </c>
      <c r="J548" s="35">
        <f t="shared" si="34"/>
        <v>0.5</v>
      </c>
      <c r="K548">
        <f t="shared" si="35"/>
        <v>1249</v>
      </c>
    </row>
    <row r="549" spans="1:11" x14ac:dyDescent="0.25">
      <c r="A549">
        <v>4</v>
      </c>
      <c r="B549">
        <v>249098</v>
      </c>
      <c r="C549" t="s">
        <v>0</v>
      </c>
      <c r="D549">
        <v>2470</v>
      </c>
      <c r="E549" s="1">
        <v>43983</v>
      </c>
      <c r="F549">
        <v>2470</v>
      </c>
      <c r="G549">
        <v>1235</v>
      </c>
      <c r="H549">
        <f t="shared" si="32"/>
        <v>1</v>
      </c>
      <c r="I549">
        <f t="shared" si="33"/>
        <v>0.5</v>
      </c>
      <c r="J549" s="35">
        <f t="shared" si="34"/>
        <v>0.5</v>
      </c>
      <c r="K549">
        <f t="shared" si="35"/>
        <v>1235</v>
      </c>
    </row>
    <row r="550" spans="1:11" x14ac:dyDescent="0.25">
      <c r="A550">
        <v>1</v>
      </c>
      <c r="B550">
        <v>617339</v>
      </c>
      <c r="C550" t="s">
        <v>5</v>
      </c>
      <c r="D550">
        <v>410</v>
      </c>
      <c r="E550" s="1">
        <v>44105</v>
      </c>
      <c r="F550">
        <v>2460</v>
      </c>
      <c r="G550">
        <v>1127.5</v>
      </c>
      <c r="H550">
        <f t="shared" si="32"/>
        <v>6</v>
      </c>
      <c r="I550">
        <f t="shared" si="33"/>
        <v>2.75</v>
      </c>
      <c r="J550" s="35">
        <f t="shared" si="34"/>
        <v>3.25</v>
      </c>
      <c r="K550">
        <f t="shared" si="35"/>
        <v>1332.5</v>
      </c>
    </row>
    <row r="551" spans="1:11" x14ac:dyDescent="0.25">
      <c r="A551">
        <v>3</v>
      </c>
      <c r="B551">
        <v>451947</v>
      </c>
      <c r="C551" t="s">
        <v>1</v>
      </c>
      <c r="D551">
        <v>808</v>
      </c>
      <c r="E551" s="1">
        <v>43800</v>
      </c>
      <c r="F551">
        <v>2424</v>
      </c>
      <c r="G551">
        <v>1010</v>
      </c>
      <c r="H551">
        <f t="shared" si="32"/>
        <v>3</v>
      </c>
      <c r="I551">
        <f t="shared" si="33"/>
        <v>1.25</v>
      </c>
      <c r="J551" s="35">
        <f t="shared" si="34"/>
        <v>1.75</v>
      </c>
      <c r="K551">
        <f t="shared" si="35"/>
        <v>1414</v>
      </c>
    </row>
    <row r="552" spans="1:11" x14ac:dyDescent="0.25">
      <c r="A552">
        <v>4</v>
      </c>
      <c r="B552">
        <v>741765</v>
      </c>
      <c r="C552" t="s">
        <v>0</v>
      </c>
      <c r="D552">
        <v>2420</v>
      </c>
      <c r="E552" s="1">
        <v>44075</v>
      </c>
      <c r="F552">
        <v>2420</v>
      </c>
      <c r="G552">
        <v>1210</v>
      </c>
      <c r="H552">
        <f t="shared" si="32"/>
        <v>1</v>
      </c>
      <c r="I552">
        <f t="shared" si="33"/>
        <v>0.5</v>
      </c>
      <c r="J552" s="35">
        <f t="shared" si="34"/>
        <v>0.5</v>
      </c>
      <c r="K552">
        <f t="shared" si="35"/>
        <v>1210</v>
      </c>
    </row>
    <row r="553" spans="1:11" x14ac:dyDescent="0.25">
      <c r="A553">
        <v>3</v>
      </c>
      <c r="B553">
        <v>460452</v>
      </c>
      <c r="C553" t="s">
        <v>1</v>
      </c>
      <c r="D553">
        <v>787</v>
      </c>
      <c r="E553" s="1">
        <v>43983</v>
      </c>
      <c r="F553">
        <v>2361</v>
      </c>
      <c r="G553">
        <v>983.75</v>
      </c>
      <c r="H553">
        <f t="shared" si="32"/>
        <v>3</v>
      </c>
      <c r="I553">
        <f t="shared" si="33"/>
        <v>1.25</v>
      </c>
      <c r="J553" s="35">
        <f t="shared" si="34"/>
        <v>1.75</v>
      </c>
      <c r="K553">
        <f t="shared" si="35"/>
        <v>1377.25</v>
      </c>
    </row>
    <row r="554" spans="1:11" x14ac:dyDescent="0.25">
      <c r="A554">
        <v>4</v>
      </c>
      <c r="B554">
        <v>323754</v>
      </c>
      <c r="C554" t="s">
        <v>4</v>
      </c>
      <c r="D554">
        <v>472</v>
      </c>
      <c r="E554" s="1">
        <v>44105</v>
      </c>
      <c r="F554">
        <v>2360</v>
      </c>
      <c r="G554">
        <v>1038.4000000000001</v>
      </c>
      <c r="H554">
        <f t="shared" si="32"/>
        <v>5</v>
      </c>
      <c r="I554">
        <f t="shared" si="33"/>
        <v>2.2000000000000002</v>
      </c>
      <c r="J554" s="35">
        <f t="shared" si="34"/>
        <v>2.8</v>
      </c>
      <c r="K554">
        <f t="shared" si="35"/>
        <v>1321.6</v>
      </c>
    </row>
    <row r="555" spans="1:11" x14ac:dyDescent="0.25">
      <c r="A555">
        <v>1</v>
      </c>
      <c r="B555">
        <v>818777</v>
      </c>
      <c r="C555" t="s">
        <v>0</v>
      </c>
      <c r="D555">
        <v>2342</v>
      </c>
      <c r="E555" s="1">
        <v>44136</v>
      </c>
      <c r="F555">
        <v>2342</v>
      </c>
      <c r="G555">
        <v>1171</v>
      </c>
      <c r="H555">
        <f t="shared" si="32"/>
        <v>1</v>
      </c>
      <c r="I555">
        <f t="shared" si="33"/>
        <v>0.5</v>
      </c>
      <c r="J555" s="35">
        <f t="shared" si="34"/>
        <v>0.5</v>
      </c>
      <c r="K555">
        <f t="shared" si="35"/>
        <v>1171</v>
      </c>
    </row>
    <row r="556" spans="1:11" x14ac:dyDescent="0.25">
      <c r="A556">
        <v>4</v>
      </c>
      <c r="B556">
        <v>454312</v>
      </c>
      <c r="C556" t="s">
        <v>0</v>
      </c>
      <c r="D556">
        <v>2342</v>
      </c>
      <c r="E556" s="1">
        <v>44136</v>
      </c>
      <c r="F556">
        <v>2342</v>
      </c>
      <c r="G556">
        <v>1171</v>
      </c>
      <c r="H556">
        <f t="shared" si="32"/>
        <v>1</v>
      </c>
      <c r="I556">
        <f t="shared" si="33"/>
        <v>0.5</v>
      </c>
      <c r="J556" s="35">
        <f t="shared" si="34"/>
        <v>0.5</v>
      </c>
      <c r="K556">
        <f t="shared" si="35"/>
        <v>1171</v>
      </c>
    </row>
    <row r="557" spans="1:11" x14ac:dyDescent="0.25">
      <c r="A557">
        <v>2</v>
      </c>
      <c r="B557">
        <v>336365</v>
      </c>
      <c r="C557" t="s">
        <v>0</v>
      </c>
      <c r="D557">
        <v>2340</v>
      </c>
      <c r="E557" s="1">
        <v>43831</v>
      </c>
      <c r="F557">
        <v>2340</v>
      </c>
      <c r="G557">
        <v>1170</v>
      </c>
      <c r="H557">
        <f t="shared" si="32"/>
        <v>1</v>
      </c>
      <c r="I557">
        <f t="shared" si="33"/>
        <v>0.5</v>
      </c>
      <c r="J557" s="35">
        <f t="shared" si="34"/>
        <v>0.5</v>
      </c>
      <c r="K557">
        <f t="shared" si="35"/>
        <v>1170</v>
      </c>
    </row>
    <row r="558" spans="1:11" x14ac:dyDescent="0.25">
      <c r="A558">
        <v>3</v>
      </c>
      <c r="B558">
        <v>724808</v>
      </c>
      <c r="C558" t="s">
        <v>0</v>
      </c>
      <c r="D558">
        <v>2328</v>
      </c>
      <c r="E558" s="1">
        <v>44075</v>
      </c>
      <c r="F558">
        <v>2328</v>
      </c>
      <c r="G558">
        <v>1164</v>
      </c>
      <c r="H558">
        <f t="shared" si="32"/>
        <v>1</v>
      </c>
      <c r="I558">
        <f t="shared" si="33"/>
        <v>0.5</v>
      </c>
      <c r="J558" s="35">
        <f t="shared" si="34"/>
        <v>0.5</v>
      </c>
      <c r="K558">
        <f t="shared" si="35"/>
        <v>1164</v>
      </c>
    </row>
    <row r="559" spans="1:11" x14ac:dyDescent="0.25">
      <c r="A559">
        <v>4</v>
      </c>
      <c r="B559">
        <v>272243</v>
      </c>
      <c r="C559" t="s">
        <v>0</v>
      </c>
      <c r="D559">
        <v>2321</v>
      </c>
      <c r="E559" s="1">
        <v>44136</v>
      </c>
      <c r="F559">
        <v>2321</v>
      </c>
      <c r="G559">
        <v>1160.5</v>
      </c>
      <c r="H559">
        <f t="shared" si="32"/>
        <v>1</v>
      </c>
      <c r="I559">
        <f t="shared" si="33"/>
        <v>0.5</v>
      </c>
      <c r="J559" s="35">
        <f t="shared" si="34"/>
        <v>0.5</v>
      </c>
      <c r="K559">
        <f t="shared" si="35"/>
        <v>1160.5</v>
      </c>
    </row>
    <row r="560" spans="1:11" x14ac:dyDescent="0.25">
      <c r="A560">
        <v>4</v>
      </c>
      <c r="B560">
        <v>289924</v>
      </c>
      <c r="C560" t="s">
        <v>5</v>
      </c>
      <c r="D560">
        <v>386</v>
      </c>
      <c r="E560" s="1">
        <v>43770</v>
      </c>
      <c r="F560">
        <v>2316</v>
      </c>
      <c r="G560">
        <v>1061.5</v>
      </c>
      <c r="H560">
        <f t="shared" si="32"/>
        <v>6</v>
      </c>
      <c r="I560">
        <f t="shared" si="33"/>
        <v>2.75</v>
      </c>
      <c r="J560" s="35">
        <f t="shared" si="34"/>
        <v>3.25</v>
      </c>
      <c r="K560">
        <f t="shared" si="35"/>
        <v>1254.5</v>
      </c>
    </row>
    <row r="561" spans="1:11" x14ac:dyDescent="0.25">
      <c r="A561">
        <v>3</v>
      </c>
      <c r="B561">
        <v>561083</v>
      </c>
      <c r="C561" t="s">
        <v>0</v>
      </c>
      <c r="D561">
        <v>2313</v>
      </c>
      <c r="E561" s="1">
        <v>43952</v>
      </c>
      <c r="F561">
        <v>2313</v>
      </c>
      <c r="G561">
        <v>1156.5</v>
      </c>
      <c r="H561">
        <f t="shared" si="32"/>
        <v>1</v>
      </c>
      <c r="I561">
        <f t="shared" si="33"/>
        <v>0.5</v>
      </c>
      <c r="J561" s="35">
        <f t="shared" si="34"/>
        <v>0.5</v>
      </c>
      <c r="K561">
        <f t="shared" si="35"/>
        <v>1156.5</v>
      </c>
    </row>
    <row r="562" spans="1:11" x14ac:dyDescent="0.25">
      <c r="A562">
        <v>3</v>
      </c>
      <c r="B562">
        <v>120418</v>
      </c>
      <c r="C562" t="s">
        <v>5</v>
      </c>
      <c r="D562">
        <v>384</v>
      </c>
      <c r="E562" s="1">
        <v>43831</v>
      </c>
      <c r="F562">
        <v>2304</v>
      </c>
      <c r="G562">
        <v>1056</v>
      </c>
      <c r="H562">
        <f t="shared" si="32"/>
        <v>6</v>
      </c>
      <c r="I562">
        <f t="shared" si="33"/>
        <v>2.75</v>
      </c>
      <c r="J562" s="35">
        <f t="shared" si="34"/>
        <v>3.25</v>
      </c>
      <c r="K562">
        <f t="shared" si="35"/>
        <v>1248</v>
      </c>
    </row>
    <row r="563" spans="1:11" x14ac:dyDescent="0.25">
      <c r="A563">
        <v>4</v>
      </c>
      <c r="B563">
        <v>142538</v>
      </c>
      <c r="C563" t="s">
        <v>0</v>
      </c>
      <c r="D563">
        <v>2301</v>
      </c>
      <c r="E563" s="1">
        <v>43922</v>
      </c>
      <c r="F563">
        <v>2301</v>
      </c>
      <c r="G563">
        <v>1150.5</v>
      </c>
      <c r="H563">
        <f t="shared" si="32"/>
        <v>1</v>
      </c>
      <c r="I563">
        <f t="shared" si="33"/>
        <v>0.5</v>
      </c>
      <c r="J563" s="35">
        <f t="shared" si="34"/>
        <v>0.5</v>
      </c>
      <c r="K563">
        <f t="shared" si="35"/>
        <v>1150.5</v>
      </c>
    </row>
    <row r="564" spans="1:11" x14ac:dyDescent="0.25">
      <c r="A564">
        <v>3</v>
      </c>
      <c r="B564">
        <v>138137</v>
      </c>
      <c r="C564" t="s">
        <v>0</v>
      </c>
      <c r="D564">
        <v>2300</v>
      </c>
      <c r="E564" s="1">
        <v>44166</v>
      </c>
      <c r="F564">
        <v>2300</v>
      </c>
      <c r="G564">
        <v>1150</v>
      </c>
      <c r="H564">
        <f t="shared" si="32"/>
        <v>1</v>
      </c>
      <c r="I564">
        <f t="shared" si="33"/>
        <v>0.5</v>
      </c>
      <c r="J564" s="35">
        <f t="shared" si="34"/>
        <v>0.5</v>
      </c>
      <c r="K564">
        <f t="shared" si="35"/>
        <v>1150</v>
      </c>
    </row>
    <row r="565" spans="1:11" x14ac:dyDescent="0.25">
      <c r="A565">
        <v>2</v>
      </c>
      <c r="B565">
        <v>539656</v>
      </c>
      <c r="C565" t="s">
        <v>2</v>
      </c>
      <c r="D565">
        <v>570</v>
      </c>
      <c r="E565" s="1">
        <v>44166</v>
      </c>
      <c r="F565">
        <v>2280</v>
      </c>
      <c r="G565">
        <v>855</v>
      </c>
      <c r="H565">
        <f t="shared" si="32"/>
        <v>4</v>
      </c>
      <c r="I565">
        <f t="shared" si="33"/>
        <v>1.5</v>
      </c>
      <c r="J565" s="35">
        <f t="shared" si="34"/>
        <v>2.5</v>
      </c>
      <c r="K565">
        <f t="shared" si="35"/>
        <v>1425</v>
      </c>
    </row>
    <row r="566" spans="1:11" x14ac:dyDescent="0.25">
      <c r="A566">
        <v>3</v>
      </c>
      <c r="B566">
        <v>434964</v>
      </c>
      <c r="C566" t="s">
        <v>0</v>
      </c>
      <c r="D566">
        <v>2255</v>
      </c>
      <c r="E566" s="1">
        <v>44013</v>
      </c>
      <c r="F566">
        <v>2255</v>
      </c>
      <c r="G566">
        <v>1127.5</v>
      </c>
      <c r="H566">
        <f t="shared" si="32"/>
        <v>1</v>
      </c>
      <c r="I566">
        <f t="shared" si="33"/>
        <v>0.5</v>
      </c>
      <c r="J566" s="35">
        <f t="shared" si="34"/>
        <v>0.5</v>
      </c>
      <c r="K566">
        <f t="shared" si="35"/>
        <v>1127.5</v>
      </c>
    </row>
    <row r="567" spans="1:11" x14ac:dyDescent="0.25">
      <c r="A567">
        <v>4</v>
      </c>
      <c r="B567">
        <v>443447</v>
      </c>
      <c r="C567" t="s">
        <v>2</v>
      </c>
      <c r="D567">
        <v>562</v>
      </c>
      <c r="E567" s="1">
        <v>44075</v>
      </c>
      <c r="F567">
        <v>2248</v>
      </c>
      <c r="G567">
        <v>843</v>
      </c>
      <c r="H567">
        <f t="shared" si="32"/>
        <v>4</v>
      </c>
      <c r="I567">
        <f t="shared" si="33"/>
        <v>1.5</v>
      </c>
      <c r="J567" s="35">
        <f t="shared" si="34"/>
        <v>2.5</v>
      </c>
      <c r="K567">
        <f t="shared" si="35"/>
        <v>1405</v>
      </c>
    </row>
    <row r="568" spans="1:11" x14ac:dyDescent="0.25">
      <c r="A568">
        <v>1</v>
      </c>
      <c r="B568">
        <v>807061</v>
      </c>
      <c r="C568" t="s">
        <v>3</v>
      </c>
      <c r="D568">
        <v>448</v>
      </c>
      <c r="E568" s="1">
        <v>43983</v>
      </c>
      <c r="F568">
        <v>2240</v>
      </c>
      <c r="G568">
        <v>896</v>
      </c>
      <c r="H568">
        <f t="shared" si="32"/>
        <v>5</v>
      </c>
      <c r="I568">
        <f t="shared" si="33"/>
        <v>2</v>
      </c>
      <c r="J568" s="35">
        <f t="shared" si="34"/>
        <v>3</v>
      </c>
      <c r="K568">
        <f t="shared" si="35"/>
        <v>1344</v>
      </c>
    </row>
    <row r="569" spans="1:11" x14ac:dyDescent="0.25">
      <c r="A569">
        <v>5</v>
      </c>
      <c r="B569">
        <v>529423</v>
      </c>
      <c r="C569" t="s">
        <v>0</v>
      </c>
      <c r="D569">
        <v>2227.5</v>
      </c>
      <c r="E569" s="1">
        <v>43831</v>
      </c>
      <c r="F569">
        <v>2227.5</v>
      </c>
      <c r="G569">
        <v>1113.75</v>
      </c>
      <c r="H569">
        <f t="shared" si="32"/>
        <v>1</v>
      </c>
      <c r="I569">
        <f t="shared" si="33"/>
        <v>0.5</v>
      </c>
      <c r="J569" s="35">
        <f t="shared" si="34"/>
        <v>0.5</v>
      </c>
      <c r="K569">
        <f t="shared" si="35"/>
        <v>1113.75</v>
      </c>
    </row>
    <row r="570" spans="1:11" x14ac:dyDescent="0.25">
      <c r="A570">
        <v>2</v>
      </c>
      <c r="B570">
        <v>353832</v>
      </c>
      <c r="C570" t="s">
        <v>0</v>
      </c>
      <c r="D570">
        <v>2214</v>
      </c>
      <c r="E570" s="1">
        <v>43891</v>
      </c>
      <c r="F570">
        <v>2214</v>
      </c>
      <c r="G570">
        <v>1107</v>
      </c>
      <c r="H570">
        <f t="shared" si="32"/>
        <v>1</v>
      </c>
      <c r="I570">
        <f t="shared" si="33"/>
        <v>0.5</v>
      </c>
      <c r="J570" s="35">
        <f t="shared" si="34"/>
        <v>0.5</v>
      </c>
      <c r="K570">
        <f t="shared" si="35"/>
        <v>1107</v>
      </c>
    </row>
    <row r="571" spans="1:11" x14ac:dyDescent="0.25">
      <c r="A571">
        <v>1</v>
      </c>
      <c r="B571">
        <v>327845</v>
      </c>
      <c r="C571" t="s">
        <v>1</v>
      </c>
      <c r="D571">
        <v>727</v>
      </c>
      <c r="E571" s="1">
        <v>43983</v>
      </c>
      <c r="F571">
        <v>2181</v>
      </c>
      <c r="G571">
        <v>908.75</v>
      </c>
      <c r="H571">
        <f t="shared" si="32"/>
        <v>3</v>
      </c>
      <c r="I571">
        <f t="shared" si="33"/>
        <v>1.25</v>
      </c>
      <c r="J571" s="35">
        <f t="shared" si="34"/>
        <v>1.75</v>
      </c>
      <c r="K571">
        <f t="shared" si="35"/>
        <v>1272.25</v>
      </c>
    </row>
    <row r="572" spans="1:11" x14ac:dyDescent="0.25">
      <c r="A572">
        <v>1</v>
      </c>
      <c r="B572">
        <v>444955</v>
      </c>
      <c r="C572" t="s">
        <v>0</v>
      </c>
      <c r="D572">
        <v>2181</v>
      </c>
      <c r="E572" s="1">
        <v>44105</v>
      </c>
      <c r="F572">
        <v>2181</v>
      </c>
      <c r="G572">
        <v>1090.5</v>
      </c>
      <c r="H572">
        <f t="shared" si="32"/>
        <v>1</v>
      </c>
      <c r="I572">
        <f t="shared" si="33"/>
        <v>0.5</v>
      </c>
      <c r="J572" s="35">
        <f t="shared" si="34"/>
        <v>0.5</v>
      </c>
      <c r="K572">
        <f t="shared" si="35"/>
        <v>1090.5</v>
      </c>
    </row>
    <row r="573" spans="1:11" x14ac:dyDescent="0.25">
      <c r="A573">
        <v>1</v>
      </c>
      <c r="B573">
        <v>729194</v>
      </c>
      <c r="C573" t="s">
        <v>5</v>
      </c>
      <c r="D573">
        <v>362</v>
      </c>
      <c r="E573" s="1">
        <v>43952</v>
      </c>
      <c r="F573">
        <v>2172</v>
      </c>
      <c r="G573">
        <v>995.5</v>
      </c>
      <c r="H573">
        <f t="shared" si="32"/>
        <v>6</v>
      </c>
      <c r="I573">
        <f t="shared" si="33"/>
        <v>2.75</v>
      </c>
      <c r="J573" s="35">
        <f t="shared" si="34"/>
        <v>3.25</v>
      </c>
      <c r="K573">
        <f t="shared" si="35"/>
        <v>1176.5</v>
      </c>
    </row>
    <row r="574" spans="1:11" x14ac:dyDescent="0.25">
      <c r="A574">
        <v>1</v>
      </c>
      <c r="B574">
        <v>881771</v>
      </c>
      <c r="C574" t="s">
        <v>0</v>
      </c>
      <c r="D574">
        <v>2157</v>
      </c>
      <c r="E574" s="1">
        <v>44166</v>
      </c>
      <c r="F574">
        <v>2157</v>
      </c>
      <c r="G574">
        <v>1078.5</v>
      </c>
      <c r="H574">
        <f t="shared" si="32"/>
        <v>1</v>
      </c>
      <c r="I574">
        <f t="shared" si="33"/>
        <v>0.5</v>
      </c>
      <c r="J574" s="35">
        <f t="shared" si="34"/>
        <v>0.5</v>
      </c>
      <c r="K574">
        <f t="shared" si="35"/>
        <v>1078.5</v>
      </c>
    </row>
    <row r="575" spans="1:11" x14ac:dyDescent="0.25">
      <c r="A575">
        <v>4</v>
      </c>
      <c r="B575">
        <v>366159</v>
      </c>
      <c r="C575" t="s">
        <v>0</v>
      </c>
      <c r="D575">
        <v>2146</v>
      </c>
      <c r="E575" s="1">
        <v>44075</v>
      </c>
      <c r="F575">
        <v>2146</v>
      </c>
      <c r="G575">
        <v>1073</v>
      </c>
      <c r="H575">
        <f t="shared" si="32"/>
        <v>1</v>
      </c>
      <c r="I575">
        <f t="shared" si="33"/>
        <v>0.5</v>
      </c>
      <c r="J575" s="35">
        <f t="shared" si="34"/>
        <v>0.5</v>
      </c>
      <c r="K575">
        <f t="shared" si="35"/>
        <v>1073</v>
      </c>
    </row>
    <row r="576" spans="1:11" x14ac:dyDescent="0.25">
      <c r="A576">
        <v>2</v>
      </c>
      <c r="B576">
        <v>361276</v>
      </c>
      <c r="C576" t="s">
        <v>2</v>
      </c>
      <c r="D576">
        <v>521</v>
      </c>
      <c r="E576" s="1">
        <v>44166</v>
      </c>
      <c r="F576">
        <v>2084</v>
      </c>
      <c r="G576">
        <v>781.5</v>
      </c>
      <c r="H576">
        <f t="shared" si="32"/>
        <v>4</v>
      </c>
      <c r="I576">
        <f t="shared" si="33"/>
        <v>1.5</v>
      </c>
      <c r="J576" s="35">
        <f t="shared" si="34"/>
        <v>2.5</v>
      </c>
      <c r="K576">
        <f t="shared" si="35"/>
        <v>1302.5</v>
      </c>
    </row>
    <row r="577" spans="1:11" x14ac:dyDescent="0.25">
      <c r="A577">
        <v>5</v>
      </c>
      <c r="B577">
        <v>742570</v>
      </c>
      <c r="C577" t="s">
        <v>0</v>
      </c>
      <c r="D577">
        <v>2072</v>
      </c>
      <c r="E577" s="1">
        <v>44166</v>
      </c>
      <c r="F577">
        <v>2072</v>
      </c>
      <c r="G577">
        <v>1036</v>
      </c>
      <c r="H577">
        <f t="shared" si="32"/>
        <v>1</v>
      </c>
      <c r="I577">
        <f t="shared" si="33"/>
        <v>0.5</v>
      </c>
      <c r="J577" s="35">
        <f t="shared" si="34"/>
        <v>0.5</v>
      </c>
      <c r="K577">
        <f t="shared" si="35"/>
        <v>1036</v>
      </c>
    </row>
    <row r="578" spans="1:11" x14ac:dyDescent="0.25">
      <c r="A578">
        <v>3</v>
      </c>
      <c r="B578">
        <v>725066</v>
      </c>
      <c r="C578" t="s">
        <v>5</v>
      </c>
      <c r="D578">
        <v>345</v>
      </c>
      <c r="E578" s="1">
        <v>43739</v>
      </c>
      <c r="F578">
        <v>2070</v>
      </c>
      <c r="G578">
        <v>948.75</v>
      </c>
      <c r="H578">
        <f t="shared" si="32"/>
        <v>6</v>
      </c>
      <c r="I578">
        <f t="shared" si="33"/>
        <v>2.75</v>
      </c>
      <c r="J578" s="35">
        <f t="shared" si="34"/>
        <v>3.25</v>
      </c>
      <c r="K578">
        <f t="shared" si="35"/>
        <v>1121.25</v>
      </c>
    </row>
    <row r="579" spans="1:11" x14ac:dyDescent="0.25">
      <c r="A579">
        <v>5</v>
      </c>
      <c r="B579">
        <v>403071</v>
      </c>
      <c r="C579" t="s">
        <v>5</v>
      </c>
      <c r="D579">
        <v>344</v>
      </c>
      <c r="E579" s="1">
        <v>43739</v>
      </c>
      <c r="F579">
        <v>2064</v>
      </c>
      <c r="G579">
        <v>946</v>
      </c>
      <c r="H579">
        <f t="shared" ref="H579:H642" si="36">F579/D579</f>
        <v>6</v>
      </c>
      <c r="I579">
        <f t="shared" ref="I579:I642" si="37">G579/D579</f>
        <v>2.75</v>
      </c>
      <c r="J579" s="35">
        <f t="shared" ref="J579:J642" si="38">H579-I579</f>
        <v>3.25</v>
      </c>
      <c r="K579">
        <f t="shared" ref="K579:K642" si="39">D579*J579</f>
        <v>1118</v>
      </c>
    </row>
    <row r="580" spans="1:11" x14ac:dyDescent="0.25">
      <c r="A580">
        <v>1</v>
      </c>
      <c r="B580">
        <v>148871</v>
      </c>
      <c r="C580" t="s">
        <v>4</v>
      </c>
      <c r="D580">
        <v>410</v>
      </c>
      <c r="E580" s="1">
        <v>44105</v>
      </c>
      <c r="F580">
        <v>2050</v>
      </c>
      <c r="G580">
        <v>902.00000000000011</v>
      </c>
      <c r="H580">
        <f t="shared" si="36"/>
        <v>5</v>
      </c>
      <c r="I580">
        <f t="shared" si="37"/>
        <v>2.2000000000000002</v>
      </c>
      <c r="J580" s="35">
        <f t="shared" si="38"/>
        <v>2.8</v>
      </c>
      <c r="K580">
        <f t="shared" si="39"/>
        <v>1148</v>
      </c>
    </row>
    <row r="581" spans="1:11" x14ac:dyDescent="0.25">
      <c r="A581">
        <v>1</v>
      </c>
      <c r="B581">
        <v>801641</v>
      </c>
      <c r="C581" t="s">
        <v>0</v>
      </c>
      <c r="D581">
        <v>2031</v>
      </c>
      <c r="E581" s="1">
        <v>44105</v>
      </c>
      <c r="F581">
        <v>2031</v>
      </c>
      <c r="G581">
        <v>1015.5</v>
      </c>
      <c r="H581">
        <f t="shared" si="36"/>
        <v>1</v>
      </c>
      <c r="I581">
        <f t="shared" si="37"/>
        <v>0.5</v>
      </c>
      <c r="J581" s="35">
        <f t="shared" si="38"/>
        <v>0.5</v>
      </c>
      <c r="K581">
        <f t="shared" si="39"/>
        <v>1015.5</v>
      </c>
    </row>
    <row r="582" spans="1:11" x14ac:dyDescent="0.25">
      <c r="A582">
        <v>4</v>
      </c>
      <c r="B582">
        <v>574744</v>
      </c>
      <c r="C582" t="s">
        <v>0</v>
      </c>
      <c r="D582">
        <v>2021</v>
      </c>
      <c r="E582" s="1">
        <v>44105</v>
      </c>
      <c r="F582">
        <v>2021</v>
      </c>
      <c r="G582">
        <v>1010.5</v>
      </c>
      <c r="H582">
        <f t="shared" si="36"/>
        <v>1</v>
      </c>
      <c r="I582">
        <f t="shared" si="37"/>
        <v>0.5</v>
      </c>
      <c r="J582" s="35">
        <f t="shared" si="38"/>
        <v>0.5</v>
      </c>
      <c r="K582">
        <f t="shared" si="39"/>
        <v>1010.5</v>
      </c>
    </row>
    <row r="583" spans="1:11" x14ac:dyDescent="0.25">
      <c r="A583">
        <v>5</v>
      </c>
      <c r="B583">
        <v>160577</v>
      </c>
      <c r="C583" t="s">
        <v>1</v>
      </c>
      <c r="D583">
        <v>662</v>
      </c>
      <c r="E583" s="1">
        <v>43983</v>
      </c>
      <c r="F583">
        <v>1986</v>
      </c>
      <c r="G583">
        <v>827.5</v>
      </c>
      <c r="H583">
        <f t="shared" si="36"/>
        <v>3</v>
      </c>
      <c r="I583">
        <f t="shared" si="37"/>
        <v>1.25</v>
      </c>
      <c r="J583" s="35">
        <f t="shared" si="38"/>
        <v>1.75</v>
      </c>
      <c r="K583">
        <f t="shared" si="39"/>
        <v>1158.5</v>
      </c>
    </row>
    <row r="584" spans="1:11" x14ac:dyDescent="0.25">
      <c r="A584">
        <v>4</v>
      </c>
      <c r="B584">
        <v>757336</v>
      </c>
      <c r="C584" t="s">
        <v>0</v>
      </c>
      <c r="D584">
        <v>1976</v>
      </c>
      <c r="E584" s="1">
        <v>44105</v>
      </c>
      <c r="F584">
        <v>1976</v>
      </c>
      <c r="G584">
        <v>988</v>
      </c>
      <c r="H584">
        <f t="shared" si="36"/>
        <v>1</v>
      </c>
      <c r="I584">
        <f t="shared" si="37"/>
        <v>0.5</v>
      </c>
      <c r="J584" s="35">
        <f t="shared" si="38"/>
        <v>0.5</v>
      </c>
      <c r="K584">
        <f t="shared" si="39"/>
        <v>988</v>
      </c>
    </row>
    <row r="585" spans="1:11" x14ac:dyDescent="0.25">
      <c r="A585">
        <v>5</v>
      </c>
      <c r="B585">
        <v>238485</v>
      </c>
      <c r="C585" t="s">
        <v>2</v>
      </c>
      <c r="D585">
        <v>494</v>
      </c>
      <c r="E585" s="1">
        <v>43739</v>
      </c>
      <c r="F585">
        <v>1976</v>
      </c>
      <c r="G585">
        <v>741</v>
      </c>
      <c r="H585">
        <f t="shared" si="36"/>
        <v>4</v>
      </c>
      <c r="I585">
        <f t="shared" si="37"/>
        <v>1.5</v>
      </c>
      <c r="J585" s="35">
        <f t="shared" si="38"/>
        <v>2.5</v>
      </c>
      <c r="K585">
        <f t="shared" si="39"/>
        <v>1235</v>
      </c>
    </row>
    <row r="586" spans="1:11" x14ac:dyDescent="0.25">
      <c r="A586">
        <v>4</v>
      </c>
      <c r="B586">
        <v>823953</v>
      </c>
      <c r="C586" t="s">
        <v>0</v>
      </c>
      <c r="D586">
        <v>1967</v>
      </c>
      <c r="E586" s="1">
        <v>43891</v>
      </c>
      <c r="F586">
        <v>1967</v>
      </c>
      <c r="G586">
        <v>983.5</v>
      </c>
      <c r="H586">
        <f t="shared" si="36"/>
        <v>1</v>
      </c>
      <c r="I586">
        <f t="shared" si="37"/>
        <v>0.5</v>
      </c>
      <c r="J586" s="35">
        <f t="shared" si="38"/>
        <v>0.5</v>
      </c>
      <c r="K586">
        <f t="shared" si="39"/>
        <v>983.5</v>
      </c>
    </row>
    <row r="587" spans="1:11" x14ac:dyDescent="0.25">
      <c r="A587">
        <v>2</v>
      </c>
      <c r="B587">
        <v>297812</v>
      </c>
      <c r="C587" t="s">
        <v>2</v>
      </c>
      <c r="D587">
        <v>490</v>
      </c>
      <c r="E587" s="1">
        <v>44136</v>
      </c>
      <c r="F587">
        <v>1960</v>
      </c>
      <c r="G587">
        <v>735</v>
      </c>
      <c r="H587">
        <f t="shared" si="36"/>
        <v>4</v>
      </c>
      <c r="I587">
        <f t="shared" si="37"/>
        <v>1.5</v>
      </c>
      <c r="J587" s="35">
        <f t="shared" si="38"/>
        <v>2.5</v>
      </c>
      <c r="K587">
        <f t="shared" si="39"/>
        <v>1225</v>
      </c>
    </row>
    <row r="588" spans="1:11" x14ac:dyDescent="0.25">
      <c r="A588">
        <v>5</v>
      </c>
      <c r="B588">
        <v>570270</v>
      </c>
      <c r="C588" t="s">
        <v>0</v>
      </c>
      <c r="D588">
        <v>1958</v>
      </c>
      <c r="E588" s="1">
        <v>43862</v>
      </c>
      <c r="F588">
        <v>1958</v>
      </c>
      <c r="G588">
        <v>979</v>
      </c>
      <c r="H588">
        <f t="shared" si="36"/>
        <v>1</v>
      </c>
      <c r="I588">
        <f t="shared" si="37"/>
        <v>0.5</v>
      </c>
      <c r="J588" s="35">
        <f t="shared" si="38"/>
        <v>0.5</v>
      </c>
      <c r="K588">
        <f t="shared" si="39"/>
        <v>979</v>
      </c>
    </row>
    <row r="589" spans="1:11" x14ac:dyDescent="0.25">
      <c r="A589">
        <v>3</v>
      </c>
      <c r="B589">
        <v>686651</v>
      </c>
      <c r="C589" t="s">
        <v>3</v>
      </c>
      <c r="D589">
        <v>386</v>
      </c>
      <c r="E589" s="1">
        <v>43739</v>
      </c>
      <c r="F589">
        <v>1930</v>
      </c>
      <c r="G589">
        <v>772</v>
      </c>
      <c r="H589">
        <f t="shared" si="36"/>
        <v>5</v>
      </c>
      <c r="I589">
        <f t="shared" si="37"/>
        <v>2</v>
      </c>
      <c r="J589" s="35">
        <f t="shared" si="38"/>
        <v>3</v>
      </c>
      <c r="K589">
        <f t="shared" si="39"/>
        <v>1158</v>
      </c>
    </row>
    <row r="590" spans="1:11" x14ac:dyDescent="0.25">
      <c r="A590">
        <v>1</v>
      </c>
      <c r="B590">
        <v>485947</v>
      </c>
      <c r="C590" t="s">
        <v>1</v>
      </c>
      <c r="D590">
        <v>641</v>
      </c>
      <c r="E590" s="1">
        <v>44013</v>
      </c>
      <c r="F590">
        <v>1923</v>
      </c>
      <c r="G590">
        <v>801.25</v>
      </c>
      <c r="H590">
        <f t="shared" si="36"/>
        <v>3</v>
      </c>
      <c r="I590">
        <f t="shared" si="37"/>
        <v>1.25</v>
      </c>
      <c r="J590" s="35">
        <f t="shared" si="38"/>
        <v>1.75</v>
      </c>
      <c r="K590">
        <f t="shared" si="39"/>
        <v>1121.75</v>
      </c>
    </row>
    <row r="591" spans="1:11" x14ac:dyDescent="0.25">
      <c r="A591">
        <v>2</v>
      </c>
      <c r="B591">
        <v>445507</v>
      </c>
      <c r="C591" t="s">
        <v>0</v>
      </c>
      <c r="D591">
        <v>1901</v>
      </c>
      <c r="E591" s="1">
        <v>43983</v>
      </c>
      <c r="F591">
        <v>1901</v>
      </c>
      <c r="G591">
        <v>950.5</v>
      </c>
      <c r="H591">
        <f t="shared" si="36"/>
        <v>1</v>
      </c>
      <c r="I591">
        <f t="shared" si="37"/>
        <v>0.5</v>
      </c>
      <c r="J591" s="35">
        <f t="shared" si="38"/>
        <v>0.5</v>
      </c>
      <c r="K591">
        <f t="shared" si="39"/>
        <v>950.5</v>
      </c>
    </row>
    <row r="592" spans="1:11" x14ac:dyDescent="0.25">
      <c r="A592">
        <v>3</v>
      </c>
      <c r="B592">
        <v>607709</v>
      </c>
      <c r="C592" t="s">
        <v>3</v>
      </c>
      <c r="D592">
        <v>380</v>
      </c>
      <c r="E592" s="1">
        <v>43709</v>
      </c>
      <c r="F592">
        <v>1900</v>
      </c>
      <c r="G592">
        <v>760</v>
      </c>
      <c r="H592">
        <f t="shared" si="36"/>
        <v>5</v>
      </c>
      <c r="I592">
        <f t="shared" si="37"/>
        <v>2</v>
      </c>
      <c r="J592" s="35">
        <f t="shared" si="38"/>
        <v>3</v>
      </c>
      <c r="K592">
        <f t="shared" si="39"/>
        <v>1140</v>
      </c>
    </row>
    <row r="593" spans="1:11" x14ac:dyDescent="0.25">
      <c r="A593">
        <v>4</v>
      </c>
      <c r="B593">
        <v>737790</v>
      </c>
      <c r="C593" t="s">
        <v>3</v>
      </c>
      <c r="D593">
        <v>380</v>
      </c>
      <c r="E593" s="1">
        <v>43800</v>
      </c>
      <c r="F593">
        <v>1900</v>
      </c>
      <c r="G593">
        <v>760</v>
      </c>
      <c r="H593">
        <f t="shared" si="36"/>
        <v>5</v>
      </c>
      <c r="I593">
        <f t="shared" si="37"/>
        <v>2</v>
      </c>
      <c r="J593" s="35">
        <f t="shared" si="38"/>
        <v>3</v>
      </c>
      <c r="K593">
        <f t="shared" si="39"/>
        <v>1140</v>
      </c>
    </row>
    <row r="594" spans="1:11" x14ac:dyDescent="0.25">
      <c r="A594">
        <v>5</v>
      </c>
      <c r="B594">
        <v>138739</v>
      </c>
      <c r="C594" t="s">
        <v>0</v>
      </c>
      <c r="D594">
        <v>1899</v>
      </c>
      <c r="E594" s="1">
        <v>43983</v>
      </c>
      <c r="F594">
        <v>1899</v>
      </c>
      <c r="G594">
        <v>949.5</v>
      </c>
      <c r="H594">
        <f t="shared" si="36"/>
        <v>1</v>
      </c>
      <c r="I594">
        <f t="shared" si="37"/>
        <v>0.5</v>
      </c>
      <c r="J594" s="35">
        <f t="shared" si="38"/>
        <v>0.5</v>
      </c>
      <c r="K594">
        <f t="shared" si="39"/>
        <v>949.5</v>
      </c>
    </row>
    <row r="595" spans="1:11" x14ac:dyDescent="0.25">
      <c r="A595">
        <v>4</v>
      </c>
      <c r="B595">
        <v>362208</v>
      </c>
      <c r="C595" t="s">
        <v>1</v>
      </c>
      <c r="D595">
        <v>623</v>
      </c>
      <c r="E595" s="1">
        <v>43709</v>
      </c>
      <c r="F595">
        <v>1869</v>
      </c>
      <c r="G595">
        <v>778.75</v>
      </c>
      <c r="H595">
        <f t="shared" si="36"/>
        <v>3</v>
      </c>
      <c r="I595">
        <f t="shared" si="37"/>
        <v>1.25</v>
      </c>
      <c r="J595" s="35">
        <f t="shared" si="38"/>
        <v>1.75</v>
      </c>
      <c r="K595">
        <f t="shared" si="39"/>
        <v>1090.25</v>
      </c>
    </row>
    <row r="596" spans="1:11" x14ac:dyDescent="0.25">
      <c r="A596">
        <v>3</v>
      </c>
      <c r="B596">
        <v>539522</v>
      </c>
      <c r="C596" t="s">
        <v>0</v>
      </c>
      <c r="D596">
        <v>1859</v>
      </c>
      <c r="E596" s="1">
        <v>44044</v>
      </c>
      <c r="F596">
        <v>1859</v>
      </c>
      <c r="G596">
        <v>929.5</v>
      </c>
      <c r="H596">
        <f t="shared" si="36"/>
        <v>1</v>
      </c>
      <c r="I596">
        <f t="shared" si="37"/>
        <v>0.5</v>
      </c>
      <c r="J596" s="35">
        <f t="shared" si="38"/>
        <v>0.5</v>
      </c>
      <c r="K596">
        <f t="shared" si="39"/>
        <v>929.5</v>
      </c>
    </row>
    <row r="597" spans="1:11" x14ac:dyDescent="0.25">
      <c r="A597">
        <v>3</v>
      </c>
      <c r="B597">
        <v>431913</v>
      </c>
      <c r="C597" t="s">
        <v>0</v>
      </c>
      <c r="D597">
        <v>1857</v>
      </c>
      <c r="E597" s="1">
        <v>43770</v>
      </c>
      <c r="F597">
        <v>1857</v>
      </c>
      <c r="G597">
        <v>928.5</v>
      </c>
      <c r="H597">
        <f t="shared" si="36"/>
        <v>1</v>
      </c>
      <c r="I597">
        <f t="shared" si="37"/>
        <v>0.5</v>
      </c>
      <c r="J597" s="35">
        <f t="shared" si="38"/>
        <v>0.5</v>
      </c>
      <c r="K597">
        <f t="shared" si="39"/>
        <v>928.5</v>
      </c>
    </row>
    <row r="598" spans="1:11" x14ac:dyDescent="0.25">
      <c r="A598">
        <v>2</v>
      </c>
      <c r="B598">
        <v>266313</v>
      </c>
      <c r="C598" t="s">
        <v>3</v>
      </c>
      <c r="D598">
        <v>367</v>
      </c>
      <c r="E598" s="1">
        <v>43739</v>
      </c>
      <c r="F598">
        <v>1835</v>
      </c>
      <c r="G598">
        <v>734</v>
      </c>
      <c r="H598">
        <f t="shared" si="36"/>
        <v>5</v>
      </c>
      <c r="I598">
        <f t="shared" si="37"/>
        <v>2</v>
      </c>
      <c r="J598" s="35">
        <f t="shared" si="38"/>
        <v>3</v>
      </c>
      <c r="K598">
        <f t="shared" si="39"/>
        <v>1101</v>
      </c>
    </row>
    <row r="599" spans="1:11" x14ac:dyDescent="0.25">
      <c r="A599">
        <v>2</v>
      </c>
      <c r="B599">
        <v>898637</v>
      </c>
      <c r="C599" t="s">
        <v>3</v>
      </c>
      <c r="D599">
        <v>367</v>
      </c>
      <c r="E599" s="1">
        <v>44013</v>
      </c>
      <c r="F599">
        <v>1835</v>
      </c>
      <c r="G599">
        <v>734</v>
      </c>
      <c r="H599">
        <f t="shared" si="36"/>
        <v>5</v>
      </c>
      <c r="I599">
        <f t="shared" si="37"/>
        <v>2</v>
      </c>
      <c r="J599" s="35">
        <f t="shared" si="38"/>
        <v>3</v>
      </c>
      <c r="K599">
        <f t="shared" si="39"/>
        <v>1101</v>
      </c>
    </row>
    <row r="600" spans="1:11" x14ac:dyDescent="0.25">
      <c r="A600">
        <v>4</v>
      </c>
      <c r="B600">
        <v>459280</v>
      </c>
      <c r="C600" t="s">
        <v>0</v>
      </c>
      <c r="D600">
        <v>1830</v>
      </c>
      <c r="E600" s="1">
        <v>44044</v>
      </c>
      <c r="F600">
        <v>1830</v>
      </c>
      <c r="G600">
        <v>915</v>
      </c>
      <c r="H600">
        <f t="shared" si="36"/>
        <v>1</v>
      </c>
      <c r="I600">
        <f t="shared" si="37"/>
        <v>0.5</v>
      </c>
      <c r="J600" s="35">
        <f t="shared" si="38"/>
        <v>0.5</v>
      </c>
      <c r="K600">
        <f t="shared" si="39"/>
        <v>915</v>
      </c>
    </row>
    <row r="601" spans="1:11" x14ac:dyDescent="0.25">
      <c r="A601">
        <v>5</v>
      </c>
      <c r="B601">
        <v>352793</v>
      </c>
      <c r="C601" t="s">
        <v>0</v>
      </c>
      <c r="D601">
        <v>1804</v>
      </c>
      <c r="E601" s="1">
        <v>43770</v>
      </c>
      <c r="F601">
        <v>1804</v>
      </c>
      <c r="G601">
        <v>902</v>
      </c>
      <c r="H601">
        <f t="shared" si="36"/>
        <v>1</v>
      </c>
      <c r="I601">
        <f t="shared" si="37"/>
        <v>0.5</v>
      </c>
      <c r="J601" s="35">
        <f t="shared" si="38"/>
        <v>0.5</v>
      </c>
      <c r="K601">
        <f t="shared" si="39"/>
        <v>902</v>
      </c>
    </row>
    <row r="602" spans="1:11" x14ac:dyDescent="0.25">
      <c r="A602">
        <v>2</v>
      </c>
      <c r="B602">
        <v>336267</v>
      </c>
      <c r="C602" t="s">
        <v>3</v>
      </c>
      <c r="D602">
        <v>360</v>
      </c>
      <c r="E602" s="1">
        <v>44105</v>
      </c>
      <c r="F602">
        <v>1800</v>
      </c>
      <c r="G602">
        <v>720</v>
      </c>
      <c r="H602">
        <f t="shared" si="36"/>
        <v>5</v>
      </c>
      <c r="I602">
        <f t="shared" si="37"/>
        <v>2</v>
      </c>
      <c r="J602" s="35">
        <f t="shared" si="38"/>
        <v>3</v>
      </c>
      <c r="K602">
        <f t="shared" si="39"/>
        <v>1080</v>
      </c>
    </row>
    <row r="603" spans="1:11" x14ac:dyDescent="0.25">
      <c r="A603">
        <v>5</v>
      </c>
      <c r="B603">
        <v>806978</v>
      </c>
      <c r="C603" t="s">
        <v>0</v>
      </c>
      <c r="D603">
        <v>1797</v>
      </c>
      <c r="E603" s="1">
        <v>43709</v>
      </c>
      <c r="F603">
        <v>1797</v>
      </c>
      <c r="G603">
        <v>898.5</v>
      </c>
      <c r="H603">
        <f t="shared" si="36"/>
        <v>1</v>
      </c>
      <c r="I603">
        <f t="shared" si="37"/>
        <v>0.5</v>
      </c>
      <c r="J603" s="35">
        <f t="shared" si="38"/>
        <v>0.5</v>
      </c>
      <c r="K603">
        <f t="shared" si="39"/>
        <v>898.5</v>
      </c>
    </row>
    <row r="604" spans="1:11" x14ac:dyDescent="0.25">
      <c r="A604">
        <v>5</v>
      </c>
      <c r="B604">
        <v>115306</v>
      </c>
      <c r="C604" t="s">
        <v>2</v>
      </c>
      <c r="D604">
        <v>448</v>
      </c>
      <c r="E604" s="1">
        <v>43983</v>
      </c>
      <c r="F604">
        <v>1792</v>
      </c>
      <c r="G604">
        <v>672</v>
      </c>
      <c r="H604">
        <f t="shared" si="36"/>
        <v>4</v>
      </c>
      <c r="I604">
        <f t="shared" si="37"/>
        <v>1.5</v>
      </c>
      <c r="J604" s="35">
        <f t="shared" si="38"/>
        <v>2.5</v>
      </c>
      <c r="K604">
        <f t="shared" si="39"/>
        <v>1120</v>
      </c>
    </row>
    <row r="605" spans="1:11" x14ac:dyDescent="0.25">
      <c r="A605">
        <v>3</v>
      </c>
      <c r="B605">
        <v>448428</v>
      </c>
      <c r="C605" t="s">
        <v>3</v>
      </c>
      <c r="D605">
        <v>357</v>
      </c>
      <c r="E605" s="1">
        <v>44136</v>
      </c>
      <c r="F605">
        <v>1785</v>
      </c>
      <c r="G605">
        <v>714</v>
      </c>
      <c r="H605">
        <f t="shared" si="36"/>
        <v>5</v>
      </c>
      <c r="I605">
        <f t="shared" si="37"/>
        <v>2</v>
      </c>
      <c r="J605" s="35">
        <f t="shared" si="38"/>
        <v>3</v>
      </c>
      <c r="K605">
        <f t="shared" si="39"/>
        <v>1071</v>
      </c>
    </row>
    <row r="606" spans="1:11" x14ac:dyDescent="0.25">
      <c r="A606">
        <v>2</v>
      </c>
      <c r="B606">
        <v>433556</v>
      </c>
      <c r="C606" t="s">
        <v>0</v>
      </c>
      <c r="D606">
        <v>1773</v>
      </c>
      <c r="E606" s="1">
        <v>43922</v>
      </c>
      <c r="F606">
        <v>1773</v>
      </c>
      <c r="G606">
        <v>886.5</v>
      </c>
      <c r="H606">
        <f t="shared" si="36"/>
        <v>1</v>
      </c>
      <c r="I606">
        <f t="shared" si="37"/>
        <v>0.5</v>
      </c>
      <c r="J606" s="35">
        <f t="shared" si="38"/>
        <v>0.5</v>
      </c>
      <c r="K606">
        <f t="shared" si="39"/>
        <v>886.5</v>
      </c>
    </row>
    <row r="607" spans="1:11" x14ac:dyDescent="0.25">
      <c r="A607">
        <v>3</v>
      </c>
      <c r="B607">
        <v>676544</v>
      </c>
      <c r="C607" t="s">
        <v>2</v>
      </c>
      <c r="D607">
        <v>442</v>
      </c>
      <c r="E607" s="1">
        <v>43709</v>
      </c>
      <c r="F607">
        <v>1768</v>
      </c>
      <c r="G607">
        <v>663</v>
      </c>
      <c r="H607">
        <f t="shared" si="36"/>
        <v>4</v>
      </c>
      <c r="I607">
        <f t="shared" si="37"/>
        <v>1.5</v>
      </c>
      <c r="J607" s="35">
        <f t="shared" si="38"/>
        <v>2.5</v>
      </c>
      <c r="K607">
        <f t="shared" si="39"/>
        <v>1105</v>
      </c>
    </row>
    <row r="608" spans="1:11" x14ac:dyDescent="0.25">
      <c r="A608">
        <v>3</v>
      </c>
      <c r="B608">
        <v>215754</v>
      </c>
      <c r="C608" t="s">
        <v>0</v>
      </c>
      <c r="D608">
        <v>1757</v>
      </c>
      <c r="E608" s="1">
        <v>43739</v>
      </c>
      <c r="F608">
        <v>1757</v>
      </c>
      <c r="G608">
        <v>878.5</v>
      </c>
      <c r="H608">
        <f t="shared" si="36"/>
        <v>1</v>
      </c>
      <c r="I608">
        <f t="shared" si="37"/>
        <v>0.5</v>
      </c>
      <c r="J608" s="35">
        <f t="shared" si="38"/>
        <v>0.5</v>
      </c>
      <c r="K608">
        <f t="shared" si="39"/>
        <v>878.5</v>
      </c>
    </row>
    <row r="609" spans="1:11" x14ac:dyDescent="0.25">
      <c r="A609">
        <v>4</v>
      </c>
      <c r="B609">
        <v>164574</v>
      </c>
      <c r="C609" t="s">
        <v>0</v>
      </c>
      <c r="D609">
        <v>1727</v>
      </c>
      <c r="E609" s="1">
        <v>43739</v>
      </c>
      <c r="F609">
        <v>1727</v>
      </c>
      <c r="G609">
        <v>863.5</v>
      </c>
      <c r="H609">
        <f t="shared" si="36"/>
        <v>1</v>
      </c>
      <c r="I609">
        <f t="shared" si="37"/>
        <v>0.5</v>
      </c>
      <c r="J609" s="35">
        <f t="shared" si="38"/>
        <v>0.5</v>
      </c>
      <c r="K609">
        <f t="shared" si="39"/>
        <v>863.5</v>
      </c>
    </row>
    <row r="610" spans="1:11" x14ac:dyDescent="0.25">
      <c r="A610">
        <v>3</v>
      </c>
      <c r="B610">
        <v>324307</v>
      </c>
      <c r="C610" t="s">
        <v>1</v>
      </c>
      <c r="D610">
        <v>574.5</v>
      </c>
      <c r="E610" s="1">
        <v>43922</v>
      </c>
      <c r="F610">
        <v>1723.5</v>
      </c>
      <c r="G610">
        <v>718.125</v>
      </c>
      <c r="H610">
        <f t="shared" si="36"/>
        <v>3</v>
      </c>
      <c r="I610">
        <f t="shared" si="37"/>
        <v>1.25</v>
      </c>
      <c r="J610" s="35">
        <f t="shared" si="38"/>
        <v>1.75</v>
      </c>
      <c r="K610">
        <f t="shared" si="39"/>
        <v>1005.375</v>
      </c>
    </row>
    <row r="611" spans="1:11" x14ac:dyDescent="0.25">
      <c r="A611">
        <v>1</v>
      </c>
      <c r="B611">
        <v>423355</v>
      </c>
      <c r="C611" t="s">
        <v>4</v>
      </c>
      <c r="D611">
        <v>344</v>
      </c>
      <c r="E611" s="1">
        <v>43739</v>
      </c>
      <c r="F611">
        <v>1720</v>
      </c>
      <c r="G611">
        <v>756.80000000000007</v>
      </c>
      <c r="H611">
        <f t="shared" si="36"/>
        <v>5</v>
      </c>
      <c r="I611">
        <f t="shared" si="37"/>
        <v>2.2000000000000002</v>
      </c>
      <c r="J611" s="35">
        <f t="shared" si="38"/>
        <v>2.8</v>
      </c>
      <c r="K611">
        <f t="shared" si="39"/>
        <v>963.19999999999993</v>
      </c>
    </row>
    <row r="612" spans="1:11" x14ac:dyDescent="0.25">
      <c r="A612">
        <v>2</v>
      </c>
      <c r="B612">
        <v>347412</v>
      </c>
      <c r="C612" t="s">
        <v>0</v>
      </c>
      <c r="D612">
        <v>1715</v>
      </c>
      <c r="E612" s="1">
        <v>43739</v>
      </c>
      <c r="F612">
        <v>1715</v>
      </c>
      <c r="G612">
        <v>857.5</v>
      </c>
      <c r="H612">
        <f t="shared" si="36"/>
        <v>1</v>
      </c>
      <c r="I612">
        <f t="shared" si="37"/>
        <v>0.5</v>
      </c>
      <c r="J612" s="35">
        <f t="shared" si="38"/>
        <v>0.5</v>
      </c>
      <c r="K612">
        <f t="shared" si="39"/>
        <v>857.5</v>
      </c>
    </row>
    <row r="613" spans="1:11" x14ac:dyDescent="0.25">
      <c r="A613">
        <v>2</v>
      </c>
      <c r="B613">
        <v>899502</v>
      </c>
      <c r="C613" t="s">
        <v>1</v>
      </c>
      <c r="D613">
        <v>570</v>
      </c>
      <c r="E613" s="1">
        <v>44166</v>
      </c>
      <c r="F613">
        <v>1710</v>
      </c>
      <c r="G613">
        <v>712.5</v>
      </c>
      <c r="H613">
        <f t="shared" si="36"/>
        <v>3</v>
      </c>
      <c r="I613">
        <f t="shared" si="37"/>
        <v>1.25</v>
      </c>
      <c r="J613" s="35">
        <f t="shared" si="38"/>
        <v>1.75</v>
      </c>
      <c r="K613">
        <f t="shared" si="39"/>
        <v>997.5</v>
      </c>
    </row>
    <row r="614" spans="1:11" x14ac:dyDescent="0.25">
      <c r="A614">
        <v>3</v>
      </c>
      <c r="B614">
        <v>494228</v>
      </c>
      <c r="C614" t="s">
        <v>0</v>
      </c>
      <c r="D614">
        <v>1706</v>
      </c>
      <c r="E614" s="1">
        <v>44166</v>
      </c>
      <c r="F614">
        <v>1706</v>
      </c>
      <c r="G614">
        <v>853</v>
      </c>
      <c r="H614">
        <f t="shared" si="36"/>
        <v>1</v>
      </c>
      <c r="I614">
        <f t="shared" si="37"/>
        <v>0.5</v>
      </c>
      <c r="J614" s="35">
        <f t="shared" si="38"/>
        <v>0.5</v>
      </c>
      <c r="K614">
        <f t="shared" si="39"/>
        <v>853</v>
      </c>
    </row>
    <row r="615" spans="1:11" x14ac:dyDescent="0.25">
      <c r="A615">
        <v>2</v>
      </c>
      <c r="B615">
        <v>487819</v>
      </c>
      <c r="C615" t="s">
        <v>0</v>
      </c>
      <c r="D615">
        <v>1666</v>
      </c>
      <c r="E615" s="1">
        <v>43952</v>
      </c>
      <c r="F615">
        <v>1666</v>
      </c>
      <c r="G615">
        <v>833</v>
      </c>
      <c r="H615">
        <f t="shared" si="36"/>
        <v>1</v>
      </c>
      <c r="I615">
        <f t="shared" si="37"/>
        <v>0.5</v>
      </c>
      <c r="J615" s="35">
        <f t="shared" si="38"/>
        <v>0.5</v>
      </c>
      <c r="K615">
        <f t="shared" si="39"/>
        <v>833</v>
      </c>
    </row>
    <row r="616" spans="1:11" x14ac:dyDescent="0.25">
      <c r="A616">
        <v>3</v>
      </c>
      <c r="B616">
        <v>878522</v>
      </c>
      <c r="C616" t="s">
        <v>1</v>
      </c>
      <c r="D616">
        <v>554</v>
      </c>
      <c r="E616" s="1">
        <v>43831</v>
      </c>
      <c r="F616">
        <v>1662</v>
      </c>
      <c r="G616">
        <v>692.5</v>
      </c>
      <c r="H616">
        <f t="shared" si="36"/>
        <v>3</v>
      </c>
      <c r="I616">
        <f t="shared" si="37"/>
        <v>1.25</v>
      </c>
      <c r="J616" s="35">
        <f t="shared" si="38"/>
        <v>1.75</v>
      </c>
      <c r="K616">
        <f t="shared" si="39"/>
        <v>969.5</v>
      </c>
    </row>
    <row r="617" spans="1:11" x14ac:dyDescent="0.25">
      <c r="A617">
        <v>4</v>
      </c>
      <c r="B617">
        <v>113657</v>
      </c>
      <c r="C617" t="s">
        <v>0</v>
      </c>
      <c r="D617">
        <v>1660</v>
      </c>
      <c r="E617" s="1">
        <v>43770</v>
      </c>
      <c r="F617">
        <v>1660</v>
      </c>
      <c r="G617">
        <v>830</v>
      </c>
      <c r="H617">
        <f t="shared" si="36"/>
        <v>1</v>
      </c>
      <c r="I617">
        <f t="shared" si="37"/>
        <v>0.5</v>
      </c>
      <c r="J617" s="35">
        <f t="shared" si="38"/>
        <v>0.5</v>
      </c>
      <c r="K617">
        <f t="shared" si="39"/>
        <v>830</v>
      </c>
    </row>
    <row r="618" spans="1:11" x14ac:dyDescent="0.25">
      <c r="A618">
        <v>4</v>
      </c>
      <c r="B618">
        <v>483216</v>
      </c>
      <c r="C618" t="s">
        <v>1</v>
      </c>
      <c r="D618">
        <v>552</v>
      </c>
      <c r="E618" s="1">
        <v>44136</v>
      </c>
      <c r="F618">
        <v>1656</v>
      </c>
      <c r="G618">
        <v>690</v>
      </c>
      <c r="H618">
        <f t="shared" si="36"/>
        <v>3</v>
      </c>
      <c r="I618">
        <f t="shared" si="37"/>
        <v>1.25</v>
      </c>
      <c r="J618" s="35">
        <f t="shared" si="38"/>
        <v>1.75</v>
      </c>
      <c r="K618">
        <f t="shared" si="39"/>
        <v>966</v>
      </c>
    </row>
    <row r="619" spans="1:11" x14ac:dyDescent="0.25">
      <c r="A619">
        <v>2</v>
      </c>
      <c r="B619">
        <v>867907</v>
      </c>
      <c r="C619" t="s">
        <v>5</v>
      </c>
      <c r="D619">
        <v>269</v>
      </c>
      <c r="E619" s="1">
        <v>43739</v>
      </c>
      <c r="F619">
        <v>1614</v>
      </c>
      <c r="G619">
        <v>739.75</v>
      </c>
      <c r="H619">
        <f t="shared" si="36"/>
        <v>6</v>
      </c>
      <c r="I619">
        <f t="shared" si="37"/>
        <v>2.75</v>
      </c>
      <c r="J619" s="35">
        <f t="shared" si="38"/>
        <v>3.25</v>
      </c>
      <c r="K619">
        <f t="shared" si="39"/>
        <v>874.25</v>
      </c>
    </row>
    <row r="620" spans="1:11" x14ac:dyDescent="0.25">
      <c r="A620">
        <v>2</v>
      </c>
      <c r="B620">
        <v>270516</v>
      </c>
      <c r="C620" t="s">
        <v>0</v>
      </c>
      <c r="D620">
        <v>1611</v>
      </c>
      <c r="E620" s="1">
        <v>43800</v>
      </c>
      <c r="F620">
        <v>1611</v>
      </c>
      <c r="G620">
        <v>805.5</v>
      </c>
      <c r="H620">
        <f t="shared" si="36"/>
        <v>1</v>
      </c>
      <c r="I620">
        <f t="shared" si="37"/>
        <v>0.5</v>
      </c>
      <c r="J620" s="35">
        <f t="shared" si="38"/>
        <v>0.5</v>
      </c>
      <c r="K620">
        <f t="shared" si="39"/>
        <v>805.5</v>
      </c>
    </row>
    <row r="621" spans="1:11" x14ac:dyDescent="0.25">
      <c r="A621">
        <v>4</v>
      </c>
      <c r="B621">
        <v>182735</v>
      </c>
      <c r="C621" t="s">
        <v>4</v>
      </c>
      <c r="D621">
        <v>321</v>
      </c>
      <c r="E621" s="1">
        <v>43770</v>
      </c>
      <c r="F621">
        <v>1605</v>
      </c>
      <c r="G621">
        <v>706.2</v>
      </c>
      <c r="H621">
        <f t="shared" si="36"/>
        <v>5</v>
      </c>
      <c r="I621">
        <f t="shared" si="37"/>
        <v>2.2000000000000002</v>
      </c>
      <c r="J621" s="35">
        <f t="shared" si="38"/>
        <v>2.8</v>
      </c>
      <c r="K621">
        <f t="shared" si="39"/>
        <v>898.8</v>
      </c>
    </row>
    <row r="622" spans="1:11" x14ac:dyDescent="0.25">
      <c r="A622">
        <v>1</v>
      </c>
      <c r="B622">
        <v>326089</v>
      </c>
      <c r="C622" t="s">
        <v>0</v>
      </c>
      <c r="D622">
        <v>1566</v>
      </c>
      <c r="E622" s="1">
        <v>44105</v>
      </c>
      <c r="F622">
        <v>1566</v>
      </c>
      <c r="G622">
        <v>783</v>
      </c>
      <c r="H622">
        <f t="shared" si="36"/>
        <v>1</v>
      </c>
      <c r="I622">
        <f t="shared" si="37"/>
        <v>0.5</v>
      </c>
      <c r="J622" s="35">
        <f t="shared" si="38"/>
        <v>0.5</v>
      </c>
      <c r="K622">
        <f t="shared" si="39"/>
        <v>783</v>
      </c>
    </row>
    <row r="623" spans="1:11" x14ac:dyDescent="0.25">
      <c r="A623">
        <v>1</v>
      </c>
      <c r="B623">
        <v>102288</v>
      </c>
      <c r="C623" t="s">
        <v>1</v>
      </c>
      <c r="D623">
        <v>521</v>
      </c>
      <c r="E623" s="1">
        <v>44166</v>
      </c>
      <c r="F623">
        <v>1563</v>
      </c>
      <c r="G623">
        <v>651.25</v>
      </c>
      <c r="H623">
        <f t="shared" si="36"/>
        <v>3</v>
      </c>
      <c r="I623">
        <f t="shared" si="37"/>
        <v>1.25</v>
      </c>
      <c r="J623" s="35">
        <f t="shared" si="38"/>
        <v>1.75</v>
      </c>
      <c r="K623">
        <f t="shared" si="39"/>
        <v>911.75</v>
      </c>
    </row>
    <row r="624" spans="1:11" x14ac:dyDescent="0.25">
      <c r="A624">
        <v>3</v>
      </c>
      <c r="B624">
        <v>141979</v>
      </c>
      <c r="C624" t="s">
        <v>0</v>
      </c>
      <c r="D624">
        <v>1562</v>
      </c>
      <c r="E624" s="1">
        <v>44044</v>
      </c>
      <c r="F624">
        <v>1562</v>
      </c>
      <c r="G624">
        <v>781</v>
      </c>
      <c r="H624">
        <f t="shared" si="36"/>
        <v>1</v>
      </c>
      <c r="I624">
        <f t="shared" si="37"/>
        <v>0.5</v>
      </c>
      <c r="J624" s="35">
        <f t="shared" si="38"/>
        <v>0.5</v>
      </c>
      <c r="K624">
        <f t="shared" si="39"/>
        <v>781</v>
      </c>
    </row>
    <row r="625" spans="1:11" x14ac:dyDescent="0.25">
      <c r="A625">
        <v>2</v>
      </c>
      <c r="B625">
        <v>830819</v>
      </c>
      <c r="C625" t="s">
        <v>0</v>
      </c>
      <c r="D625">
        <v>1545</v>
      </c>
      <c r="E625" s="1">
        <v>43983</v>
      </c>
      <c r="F625">
        <v>1545</v>
      </c>
      <c r="G625">
        <v>772.5</v>
      </c>
      <c r="H625">
        <f t="shared" si="36"/>
        <v>1</v>
      </c>
      <c r="I625">
        <f t="shared" si="37"/>
        <v>0.5</v>
      </c>
      <c r="J625" s="35">
        <f t="shared" si="38"/>
        <v>0.5</v>
      </c>
      <c r="K625">
        <f t="shared" si="39"/>
        <v>772.5</v>
      </c>
    </row>
    <row r="626" spans="1:11" x14ac:dyDescent="0.25">
      <c r="A626">
        <v>4</v>
      </c>
      <c r="B626">
        <v>395290</v>
      </c>
      <c r="C626" t="s">
        <v>2</v>
      </c>
      <c r="D626">
        <v>386</v>
      </c>
      <c r="E626" s="1">
        <v>43739</v>
      </c>
      <c r="F626">
        <v>1544</v>
      </c>
      <c r="G626">
        <v>579</v>
      </c>
      <c r="H626">
        <f t="shared" si="36"/>
        <v>4</v>
      </c>
      <c r="I626">
        <f t="shared" si="37"/>
        <v>1.5</v>
      </c>
      <c r="J626" s="35">
        <f t="shared" si="38"/>
        <v>2.5</v>
      </c>
      <c r="K626">
        <f t="shared" si="39"/>
        <v>965</v>
      </c>
    </row>
    <row r="627" spans="1:11" x14ac:dyDescent="0.25">
      <c r="A627">
        <v>2</v>
      </c>
      <c r="B627">
        <v>581556</v>
      </c>
      <c r="C627" t="s">
        <v>4</v>
      </c>
      <c r="D627">
        <v>306</v>
      </c>
      <c r="E627" s="1">
        <v>43800</v>
      </c>
      <c r="F627">
        <v>1530</v>
      </c>
      <c r="G627">
        <v>673.2</v>
      </c>
      <c r="H627">
        <f t="shared" si="36"/>
        <v>5</v>
      </c>
      <c r="I627">
        <f t="shared" si="37"/>
        <v>2.2000000000000002</v>
      </c>
      <c r="J627" s="35">
        <f t="shared" si="38"/>
        <v>2.8</v>
      </c>
      <c r="K627">
        <f t="shared" si="39"/>
        <v>856.8</v>
      </c>
    </row>
    <row r="628" spans="1:11" x14ac:dyDescent="0.25">
      <c r="A628">
        <v>3</v>
      </c>
      <c r="B628">
        <v>243929</v>
      </c>
      <c r="C628" t="s">
        <v>1</v>
      </c>
      <c r="D628">
        <v>494</v>
      </c>
      <c r="E628" s="1">
        <v>43739</v>
      </c>
      <c r="F628">
        <v>1482</v>
      </c>
      <c r="G628">
        <v>617.5</v>
      </c>
      <c r="H628">
        <f t="shared" si="36"/>
        <v>3</v>
      </c>
      <c r="I628">
        <f t="shared" si="37"/>
        <v>1.25</v>
      </c>
      <c r="J628" s="35">
        <f t="shared" si="38"/>
        <v>1.75</v>
      </c>
      <c r="K628">
        <f t="shared" si="39"/>
        <v>864.5</v>
      </c>
    </row>
    <row r="629" spans="1:11" x14ac:dyDescent="0.25">
      <c r="A629">
        <v>4</v>
      </c>
      <c r="B629">
        <v>414407</v>
      </c>
      <c r="C629" t="s">
        <v>1</v>
      </c>
      <c r="D629">
        <v>492</v>
      </c>
      <c r="E629" s="1">
        <v>44013</v>
      </c>
      <c r="F629">
        <v>1476</v>
      </c>
      <c r="G629">
        <v>615</v>
      </c>
      <c r="H629">
        <f t="shared" si="36"/>
        <v>3</v>
      </c>
      <c r="I629">
        <f t="shared" si="37"/>
        <v>1.25</v>
      </c>
      <c r="J629" s="35">
        <f t="shared" si="38"/>
        <v>1.75</v>
      </c>
      <c r="K629">
        <f t="shared" si="39"/>
        <v>861</v>
      </c>
    </row>
    <row r="630" spans="1:11" x14ac:dyDescent="0.25">
      <c r="A630">
        <v>1</v>
      </c>
      <c r="B630">
        <v>847731</v>
      </c>
      <c r="C630" t="s">
        <v>5</v>
      </c>
      <c r="D630">
        <v>245</v>
      </c>
      <c r="E630" s="1">
        <v>43952</v>
      </c>
      <c r="F630">
        <v>1470</v>
      </c>
      <c r="G630">
        <v>673.75</v>
      </c>
      <c r="H630">
        <f t="shared" si="36"/>
        <v>6</v>
      </c>
      <c r="I630">
        <f t="shared" si="37"/>
        <v>2.75</v>
      </c>
      <c r="J630" s="35">
        <f t="shared" si="38"/>
        <v>3.25</v>
      </c>
      <c r="K630">
        <f t="shared" si="39"/>
        <v>796.25</v>
      </c>
    </row>
    <row r="631" spans="1:11" x14ac:dyDescent="0.25">
      <c r="A631">
        <v>5</v>
      </c>
      <c r="B631">
        <v>496752</v>
      </c>
      <c r="C631" t="s">
        <v>2</v>
      </c>
      <c r="D631">
        <v>367</v>
      </c>
      <c r="E631" s="1">
        <v>43739</v>
      </c>
      <c r="F631">
        <v>1468</v>
      </c>
      <c r="G631">
        <v>550.5</v>
      </c>
      <c r="H631">
        <f t="shared" si="36"/>
        <v>4</v>
      </c>
      <c r="I631">
        <f t="shared" si="37"/>
        <v>1.5</v>
      </c>
      <c r="J631" s="35">
        <f t="shared" si="38"/>
        <v>2.5</v>
      </c>
      <c r="K631">
        <f t="shared" si="39"/>
        <v>917.5</v>
      </c>
    </row>
    <row r="632" spans="1:11" x14ac:dyDescent="0.25">
      <c r="A632">
        <v>4</v>
      </c>
      <c r="B632">
        <v>809091</v>
      </c>
      <c r="C632" t="s">
        <v>3</v>
      </c>
      <c r="D632">
        <v>293</v>
      </c>
      <c r="E632" s="1">
        <v>44166</v>
      </c>
      <c r="F632">
        <v>1465</v>
      </c>
      <c r="G632">
        <v>586</v>
      </c>
      <c r="H632">
        <f t="shared" si="36"/>
        <v>5</v>
      </c>
      <c r="I632">
        <f t="shared" si="37"/>
        <v>2</v>
      </c>
      <c r="J632" s="35">
        <f t="shared" si="38"/>
        <v>3</v>
      </c>
      <c r="K632">
        <f t="shared" si="39"/>
        <v>879</v>
      </c>
    </row>
    <row r="633" spans="1:11" x14ac:dyDescent="0.25">
      <c r="A633">
        <v>2</v>
      </c>
      <c r="B633">
        <v>199458</v>
      </c>
      <c r="C633" t="s">
        <v>0</v>
      </c>
      <c r="D633">
        <v>1460</v>
      </c>
      <c r="E633" s="1">
        <v>43952</v>
      </c>
      <c r="F633">
        <v>1460</v>
      </c>
      <c r="G633">
        <v>730</v>
      </c>
      <c r="H633">
        <f t="shared" si="36"/>
        <v>1</v>
      </c>
      <c r="I633">
        <f t="shared" si="37"/>
        <v>0.5</v>
      </c>
      <c r="J633" s="35">
        <f t="shared" si="38"/>
        <v>0.5</v>
      </c>
      <c r="K633">
        <f t="shared" si="39"/>
        <v>730</v>
      </c>
    </row>
    <row r="634" spans="1:11" x14ac:dyDescent="0.25">
      <c r="A634">
        <v>3</v>
      </c>
      <c r="B634">
        <v>266868</v>
      </c>
      <c r="C634" t="s">
        <v>3</v>
      </c>
      <c r="D634">
        <v>292</v>
      </c>
      <c r="E634" s="1">
        <v>43862</v>
      </c>
      <c r="F634">
        <v>1460</v>
      </c>
      <c r="G634">
        <v>584</v>
      </c>
      <c r="H634">
        <f t="shared" si="36"/>
        <v>5</v>
      </c>
      <c r="I634">
        <f t="shared" si="37"/>
        <v>2</v>
      </c>
      <c r="J634" s="35">
        <f t="shared" si="38"/>
        <v>3</v>
      </c>
      <c r="K634">
        <f t="shared" si="39"/>
        <v>876</v>
      </c>
    </row>
    <row r="635" spans="1:11" x14ac:dyDescent="0.25">
      <c r="A635">
        <v>2</v>
      </c>
      <c r="B635">
        <v>775311</v>
      </c>
      <c r="C635" t="s">
        <v>5</v>
      </c>
      <c r="D635">
        <v>241</v>
      </c>
      <c r="E635" s="1">
        <v>44105</v>
      </c>
      <c r="F635">
        <v>1446</v>
      </c>
      <c r="G635">
        <v>662.75</v>
      </c>
      <c r="H635">
        <f t="shared" si="36"/>
        <v>6</v>
      </c>
      <c r="I635">
        <f t="shared" si="37"/>
        <v>2.75</v>
      </c>
      <c r="J635" s="35">
        <f t="shared" si="38"/>
        <v>3.25</v>
      </c>
      <c r="K635">
        <f t="shared" si="39"/>
        <v>783.25</v>
      </c>
    </row>
    <row r="636" spans="1:11" x14ac:dyDescent="0.25">
      <c r="A636">
        <v>4</v>
      </c>
      <c r="B636">
        <v>294390</v>
      </c>
      <c r="C636" t="s">
        <v>0</v>
      </c>
      <c r="D636">
        <v>1403</v>
      </c>
      <c r="E636" s="1">
        <v>43739</v>
      </c>
      <c r="F636">
        <v>1403</v>
      </c>
      <c r="G636">
        <v>701.5</v>
      </c>
      <c r="H636">
        <f t="shared" si="36"/>
        <v>1</v>
      </c>
      <c r="I636">
        <f t="shared" si="37"/>
        <v>0.5</v>
      </c>
      <c r="J636" s="35">
        <f t="shared" si="38"/>
        <v>0.5</v>
      </c>
      <c r="K636">
        <f t="shared" si="39"/>
        <v>701.5</v>
      </c>
    </row>
    <row r="637" spans="1:11" x14ac:dyDescent="0.25">
      <c r="A637">
        <v>3</v>
      </c>
      <c r="B637">
        <v>217341</v>
      </c>
      <c r="C637" t="s">
        <v>3</v>
      </c>
      <c r="D637">
        <v>278</v>
      </c>
      <c r="E637" s="1">
        <v>43862</v>
      </c>
      <c r="F637">
        <v>1390</v>
      </c>
      <c r="G637">
        <v>556</v>
      </c>
      <c r="H637">
        <f t="shared" si="36"/>
        <v>5</v>
      </c>
      <c r="I637">
        <f t="shared" si="37"/>
        <v>2</v>
      </c>
      <c r="J637" s="35">
        <f t="shared" si="38"/>
        <v>3</v>
      </c>
      <c r="K637">
        <f t="shared" si="39"/>
        <v>834</v>
      </c>
    </row>
    <row r="638" spans="1:11" x14ac:dyDescent="0.25">
      <c r="A638">
        <v>3</v>
      </c>
      <c r="B638">
        <v>779079</v>
      </c>
      <c r="C638" t="s">
        <v>0</v>
      </c>
      <c r="D638">
        <v>1384.5</v>
      </c>
      <c r="E638" s="1">
        <v>43831</v>
      </c>
      <c r="F638">
        <v>1384.5</v>
      </c>
      <c r="G638">
        <v>692.25</v>
      </c>
      <c r="H638">
        <f t="shared" si="36"/>
        <v>1</v>
      </c>
      <c r="I638">
        <f t="shared" si="37"/>
        <v>0.5</v>
      </c>
      <c r="J638" s="35">
        <f t="shared" si="38"/>
        <v>0.5</v>
      </c>
      <c r="K638">
        <f t="shared" si="39"/>
        <v>692.25</v>
      </c>
    </row>
    <row r="639" spans="1:11" x14ac:dyDescent="0.25">
      <c r="A639">
        <v>4</v>
      </c>
      <c r="B639">
        <v>892418</v>
      </c>
      <c r="C639" t="s">
        <v>0</v>
      </c>
      <c r="D639">
        <v>1375.5</v>
      </c>
      <c r="E639" s="1">
        <v>44013</v>
      </c>
      <c r="F639">
        <v>1375.5</v>
      </c>
      <c r="G639">
        <v>687.75</v>
      </c>
      <c r="H639">
        <f t="shared" si="36"/>
        <v>1</v>
      </c>
      <c r="I639">
        <f t="shared" si="37"/>
        <v>0.5</v>
      </c>
      <c r="J639" s="35">
        <f t="shared" si="38"/>
        <v>0.5</v>
      </c>
      <c r="K639">
        <f t="shared" si="39"/>
        <v>687.75</v>
      </c>
    </row>
    <row r="640" spans="1:11" x14ac:dyDescent="0.25">
      <c r="A640">
        <v>3</v>
      </c>
      <c r="B640">
        <v>817134</v>
      </c>
      <c r="C640" t="s">
        <v>3</v>
      </c>
      <c r="D640">
        <v>274</v>
      </c>
      <c r="E640" s="1">
        <v>44166</v>
      </c>
      <c r="F640">
        <v>1370</v>
      </c>
      <c r="G640">
        <v>548</v>
      </c>
      <c r="H640">
        <f t="shared" si="36"/>
        <v>5</v>
      </c>
      <c r="I640">
        <f t="shared" si="37"/>
        <v>2</v>
      </c>
      <c r="J640" s="35">
        <f t="shared" si="38"/>
        <v>3</v>
      </c>
      <c r="K640">
        <f t="shared" si="39"/>
        <v>822</v>
      </c>
    </row>
    <row r="641" spans="1:11" x14ac:dyDescent="0.25">
      <c r="A641">
        <v>4</v>
      </c>
      <c r="B641">
        <v>605154</v>
      </c>
      <c r="C641" t="s">
        <v>0</v>
      </c>
      <c r="D641">
        <v>1368</v>
      </c>
      <c r="E641" s="1">
        <v>43862</v>
      </c>
      <c r="F641">
        <v>1368</v>
      </c>
      <c r="G641">
        <v>684</v>
      </c>
      <c r="H641">
        <f t="shared" si="36"/>
        <v>1</v>
      </c>
      <c r="I641">
        <f t="shared" si="37"/>
        <v>0.5</v>
      </c>
      <c r="J641" s="35">
        <f t="shared" si="38"/>
        <v>0.5</v>
      </c>
      <c r="K641">
        <f t="shared" si="39"/>
        <v>684</v>
      </c>
    </row>
    <row r="642" spans="1:11" x14ac:dyDescent="0.25">
      <c r="A642">
        <v>4</v>
      </c>
      <c r="B642">
        <v>531656</v>
      </c>
      <c r="C642" t="s">
        <v>4</v>
      </c>
      <c r="D642">
        <v>270</v>
      </c>
      <c r="E642" s="1">
        <v>43862</v>
      </c>
      <c r="F642">
        <v>1350</v>
      </c>
      <c r="G642">
        <v>594</v>
      </c>
      <c r="H642">
        <f t="shared" si="36"/>
        <v>5</v>
      </c>
      <c r="I642">
        <f t="shared" si="37"/>
        <v>2.2000000000000002</v>
      </c>
      <c r="J642" s="35">
        <f t="shared" si="38"/>
        <v>2.8</v>
      </c>
      <c r="K642">
        <f t="shared" si="39"/>
        <v>756</v>
      </c>
    </row>
    <row r="643" spans="1:11" x14ac:dyDescent="0.25">
      <c r="A643">
        <v>3</v>
      </c>
      <c r="B643">
        <v>609851</v>
      </c>
      <c r="C643" t="s">
        <v>3</v>
      </c>
      <c r="D643">
        <v>267</v>
      </c>
      <c r="E643" s="1">
        <v>43739</v>
      </c>
      <c r="F643">
        <v>1335</v>
      </c>
      <c r="G643">
        <v>534</v>
      </c>
      <c r="H643">
        <f t="shared" ref="H643:H701" si="40">F643/D643</f>
        <v>5</v>
      </c>
      <c r="I643">
        <f t="shared" ref="I643:I701" si="41">G643/D643</f>
        <v>2</v>
      </c>
      <c r="J643" s="35">
        <f t="shared" ref="J643:J701" si="42">H643-I643</f>
        <v>3</v>
      </c>
      <c r="K643">
        <f t="shared" ref="K643:K701" si="43">D643*J643</f>
        <v>801</v>
      </c>
    </row>
    <row r="644" spans="1:11" x14ac:dyDescent="0.25">
      <c r="A644">
        <v>3</v>
      </c>
      <c r="B644">
        <v>616987</v>
      </c>
      <c r="C644" t="s">
        <v>2</v>
      </c>
      <c r="D644">
        <v>330</v>
      </c>
      <c r="E644" s="1">
        <v>43709</v>
      </c>
      <c r="F644">
        <v>1320</v>
      </c>
      <c r="G644">
        <v>495</v>
      </c>
      <c r="H644">
        <f t="shared" si="40"/>
        <v>4</v>
      </c>
      <c r="I644">
        <f t="shared" si="41"/>
        <v>1.5</v>
      </c>
      <c r="J644" s="35">
        <f t="shared" si="42"/>
        <v>2.5</v>
      </c>
      <c r="K644">
        <f t="shared" si="43"/>
        <v>825</v>
      </c>
    </row>
    <row r="645" spans="1:11" x14ac:dyDescent="0.25">
      <c r="A645">
        <v>2</v>
      </c>
      <c r="B645">
        <v>633142</v>
      </c>
      <c r="C645" t="s">
        <v>1</v>
      </c>
      <c r="D645">
        <v>436.5</v>
      </c>
      <c r="E645" s="1">
        <v>44013</v>
      </c>
      <c r="F645">
        <v>1309.5</v>
      </c>
      <c r="G645">
        <v>545.625</v>
      </c>
      <c r="H645">
        <f t="shared" si="40"/>
        <v>3</v>
      </c>
      <c r="I645">
        <f t="shared" si="41"/>
        <v>1.25</v>
      </c>
      <c r="J645" s="35">
        <f t="shared" si="42"/>
        <v>1.75</v>
      </c>
      <c r="K645">
        <f t="shared" si="43"/>
        <v>763.875</v>
      </c>
    </row>
    <row r="646" spans="1:11" x14ac:dyDescent="0.25">
      <c r="A646">
        <v>3</v>
      </c>
      <c r="B646">
        <v>358353</v>
      </c>
      <c r="C646" t="s">
        <v>3</v>
      </c>
      <c r="D646">
        <v>260</v>
      </c>
      <c r="E646" s="1">
        <v>43862</v>
      </c>
      <c r="F646">
        <v>1300</v>
      </c>
      <c r="G646">
        <v>520</v>
      </c>
      <c r="H646">
        <f t="shared" si="40"/>
        <v>5</v>
      </c>
      <c r="I646">
        <f t="shared" si="41"/>
        <v>2</v>
      </c>
      <c r="J646" s="35">
        <f t="shared" si="42"/>
        <v>3</v>
      </c>
      <c r="K646">
        <f t="shared" si="43"/>
        <v>780</v>
      </c>
    </row>
    <row r="647" spans="1:11" x14ac:dyDescent="0.25">
      <c r="A647">
        <v>2</v>
      </c>
      <c r="B647">
        <v>541297</v>
      </c>
      <c r="C647" t="s">
        <v>0</v>
      </c>
      <c r="D647">
        <v>1298</v>
      </c>
      <c r="E647" s="1">
        <v>43862</v>
      </c>
      <c r="F647">
        <v>1298</v>
      </c>
      <c r="G647">
        <v>649</v>
      </c>
      <c r="H647">
        <f t="shared" si="40"/>
        <v>1</v>
      </c>
      <c r="I647">
        <f t="shared" si="41"/>
        <v>0.5</v>
      </c>
      <c r="J647" s="35">
        <f t="shared" si="42"/>
        <v>0.5</v>
      </c>
      <c r="K647">
        <f t="shared" si="43"/>
        <v>649</v>
      </c>
    </row>
    <row r="648" spans="1:11" x14ac:dyDescent="0.25">
      <c r="A648">
        <v>5</v>
      </c>
      <c r="B648">
        <v>494850</v>
      </c>
      <c r="C648" t="s">
        <v>1</v>
      </c>
      <c r="D648">
        <v>432</v>
      </c>
      <c r="E648" s="1">
        <v>44075</v>
      </c>
      <c r="F648">
        <v>1296</v>
      </c>
      <c r="G648">
        <v>540</v>
      </c>
      <c r="H648">
        <f t="shared" si="40"/>
        <v>3</v>
      </c>
      <c r="I648">
        <f t="shared" si="41"/>
        <v>1.25</v>
      </c>
      <c r="J648" s="35">
        <f t="shared" si="42"/>
        <v>1.75</v>
      </c>
      <c r="K648">
        <f t="shared" si="43"/>
        <v>756</v>
      </c>
    </row>
    <row r="649" spans="1:11" x14ac:dyDescent="0.25">
      <c r="A649">
        <v>3</v>
      </c>
      <c r="B649">
        <v>150101</v>
      </c>
      <c r="C649" t="s">
        <v>4</v>
      </c>
      <c r="D649">
        <v>259</v>
      </c>
      <c r="E649" s="1">
        <v>43891</v>
      </c>
      <c r="F649">
        <v>1295</v>
      </c>
      <c r="G649">
        <v>569.80000000000007</v>
      </c>
      <c r="H649">
        <f t="shared" si="40"/>
        <v>5</v>
      </c>
      <c r="I649">
        <f t="shared" si="41"/>
        <v>2.2000000000000002</v>
      </c>
      <c r="J649" s="35">
        <f t="shared" si="42"/>
        <v>2.8</v>
      </c>
      <c r="K649">
        <f t="shared" si="43"/>
        <v>725.19999999999993</v>
      </c>
    </row>
    <row r="650" spans="1:11" x14ac:dyDescent="0.25">
      <c r="A650">
        <v>3</v>
      </c>
      <c r="B650">
        <v>637451</v>
      </c>
      <c r="C650" t="s">
        <v>0</v>
      </c>
      <c r="D650">
        <v>1287</v>
      </c>
      <c r="E650" s="1">
        <v>44166</v>
      </c>
      <c r="F650">
        <v>1287</v>
      </c>
      <c r="G650">
        <v>643.5</v>
      </c>
      <c r="H650">
        <f t="shared" si="40"/>
        <v>1</v>
      </c>
      <c r="I650">
        <f t="shared" si="41"/>
        <v>0.5</v>
      </c>
      <c r="J650" s="35">
        <f t="shared" si="42"/>
        <v>0.5</v>
      </c>
      <c r="K650">
        <f t="shared" si="43"/>
        <v>643.5</v>
      </c>
    </row>
    <row r="651" spans="1:11" x14ac:dyDescent="0.25">
      <c r="A651">
        <v>2</v>
      </c>
      <c r="B651">
        <v>566983</v>
      </c>
      <c r="C651" t="s">
        <v>3</v>
      </c>
      <c r="D651">
        <v>257</v>
      </c>
      <c r="E651" s="1">
        <v>43952</v>
      </c>
      <c r="F651">
        <v>1285</v>
      </c>
      <c r="G651">
        <v>514</v>
      </c>
      <c r="H651">
        <f t="shared" si="40"/>
        <v>5</v>
      </c>
      <c r="I651">
        <f t="shared" si="41"/>
        <v>2</v>
      </c>
      <c r="J651" s="35">
        <f t="shared" si="42"/>
        <v>3</v>
      </c>
      <c r="K651">
        <f t="shared" si="43"/>
        <v>771</v>
      </c>
    </row>
    <row r="652" spans="1:11" x14ac:dyDescent="0.25">
      <c r="A652">
        <v>3</v>
      </c>
      <c r="B652">
        <v>781308</v>
      </c>
      <c r="C652" t="s">
        <v>0</v>
      </c>
      <c r="D652">
        <v>1283</v>
      </c>
      <c r="E652" s="1">
        <v>43709</v>
      </c>
      <c r="F652">
        <v>1283</v>
      </c>
      <c r="G652">
        <v>641.5</v>
      </c>
      <c r="H652">
        <f t="shared" si="40"/>
        <v>1</v>
      </c>
      <c r="I652">
        <f t="shared" si="41"/>
        <v>0.5</v>
      </c>
      <c r="J652" s="35">
        <f t="shared" si="42"/>
        <v>0.5</v>
      </c>
      <c r="K652">
        <f t="shared" si="43"/>
        <v>641.5</v>
      </c>
    </row>
    <row r="653" spans="1:11" x14ac:dyDescent="0.25">
      <c r="A653">
        <v>1</v>
      </c>
      <c r="B653">
        <v>173001</v>
      </c>
      <c r="C653" t="s">
        <v>0</v>
      </c>
      <c r="D653">
        <v>1282</v>
      </c>
      <c r="E653" s="1">
        <v>43983</v>
      </c>
      <c r="F653">
        <v>1282</v>
      </c>
      <c r="G653">
        <v>641</v>
      </c>
      <c r="H653">
        <f t="shared" si="40"/>
        <v>1</v>
      </c>
      <c r="I653">
        <f t="shared" si="41"/>
        <v>0.5</v>
      </c>
      <c r="J653" s="35">
        <f t="shared" si="42"/>
        <v>0.5</v>
      </c>
      <c r="K653">
        <f t="shared" si="43"/>
        <v>641</v>
      </c>
    </row>
    <row r="654" spans="1:11" x14ac:dyDescent="0.25">
      <c r="A654">
        <v>1</v>
      </c>
      <c r="B654">
        <v>350494</v>
      </c>
      <c r="C654" t="s">
        <v>1</v>
      </c>
      <c r="D654">
        <v>422</v>
      </c>
      <c r="E654" s="1">
        <v>44044</v>
      </c>
      <c r="F654">
        <v>1266</v>
      </c>
      <c r="G654">
        <v>527.5</v>
      </c>
      <c r="H654">
        <f t="shared" si="40"/>
        <v>3</v>
      </c>
      <c r="I654">
        <f t="shared" si="41"/>
        <v>1.25</v>
      </c>
      <c r="J654" s="35">
        <f t="shared" si="42"/>
        <v>1.75</v>
      </c>
      <c r="K654">
        <f t="shared" si="43"/>
        <v>738.5</v>
      </c>
    </row>
    <row r="655" spans="1:11" x14ac:dyDescent="0.25">
      <c r="A655">
        <v>3</v>
      </c>
      <c r="B655">
        <v>505218</v>
      </c>
      <c r="C655" t="s">
        <v>0</v>
      </c>
      <c r="D655">
        <v>1249</v>
      </c>
      <c r="E655" s="1">
        <v>44105</v>
      </c>
      <c r="F655">
        <v>1249</v>
      </c>
      <c r="G655">
        <v>624.5</v>
      </c>
      <c r="H655">
        <f t="shared" si="40"/>
        <v>1</v>
      </c>
      <c r="I655">
        <f t="shared" si="41"/>
        <v>0.5</v>
      </c>
      <c r="J655" s="35">
        <f t="shared" si="42"/>
        <v>0.5</v>
      </c>
      <c r="K655">
        <f t="shared" si="43"/>
        <v>624.5</v>
      </c>
    </row>
    <row r="656" spans="1:11" x14ac:dyDescent="0.25">
      <c r="A656">
        <v>3</v>
      </c>
      <c r="B656">
        <v>565251</v>
      </c>
      <c r="C656" t="s">
        <v>3</v>
      </c>
      <c r="D656">
        <v>241</v>
      </c>
      <c r="E656" s="1">
        <v>44105</v>
      </c>
      <c r="F656">
        <v>1205</v>
      </c>
      <c r="G656">
        <v>482</v>
      </c>
      <c r="H656">
        <f t="shared" si="40"/>
        <v>5</v>
      </c>
      <c r="I656">
        <f t="shared" si="41"/>
        <v>2</v>
      </c>
      <c r="J656" s="35">
        <f t="shared" si="42"/>
        <v>3</v>
      </c>
      <c r="K656">
        <f t="shared" si="43"/>
        <v>723</v>
      </c>
    </row>
    <row r="657" spans="1:11" x14ac:dyDescent="0.25">
      <c r="A657">
        <v>5</v>
      </c>
      <c r="B657">
        <v>721311</v>
      </c>
      <c r="C657" t="s">
        <v>0</v>
      </c>
      <c r="D657">
        <v>1199</v>
      </c>
      <c r="E657" s="1">
        <v>43922</v>
      </c>
      <c r="F657">
        <v>1199</v>
      </c>
      <c r="G657">
        <v>599.5</v>
      </c>
      <c r="H657">
        <f t="shared" si="40"/>
        <v>1</v>
      </c>
      <c r="I657">
        <f t="shared" si="41"/>
        <v>0.5</v>
      </c>
      <c r="J657" s="35">
        <f t="shared" si="42"/>
        <v>0.5</v>
      </c>
      <c r="K657">
        <f t="shared" si="43"/>
        <v>599.5</v>
      </c>
    </row>
    <row r="658" spans="1:11" x14ac:dyDescent="0.25">
      <c r="A658">
        <v>1</v>
      </c>
      <c r="B658">
        <v>469636</v>
      </c>
      <c r="C658" t="s">
        <v>0</v>
      </c>
      <c r="D658">
        <v>1186</v>
      </c>
      <c r="E658" s="1">
        <v>43800</v>
      </c>
      <c r="F658">
        <v>1186</v>
      </c>
      <c r="G658">
        <v>593</v>
      </c>
      <c r="H658">
        <f t="shared" si="40"/>
        <v>1</v>
      </c>
      <c r="I658">
        <f t="shared" si="41"/>
        <v>0.5</v>
      </c>
      <c r="J658" s="35">
        <f t="shared" si="42"/>
        <v>0.5</v>
      </c>
      <c r="K658">
        <f t="shared" si="43"/>
        <v>593</v>
      </c>
    </row>
    <row r="659" spans="1:11" x14ac:dyDescent="0.25">
      <c r="A659">
        <v>3</v>
      </c>
      <c r="B659">
        <v>150704</v>
      </c>
      <c r="C659" t="s">
        <v>0</v>
      </c>
      <c r="D659">
        <v>1159</v>
      </c>
      <c r="E659" s="1">
        <v>43739</v>
      </c>
      <c r="F659">
        <v>1159</v>
      </c>
      <c r="G659">
        <v>579.5</v>
      </c>
      <c r="H659">
        <f t="shared" si="40"/>
        <v>1</v>
      </c>
      <c r="I659">
        <f t="shared" si="41"/>
        <v>0.5</v>
      </c>
      <c r="J659" s="35">
        <f t="shared" si="42"/>
        <v>0.5</v>
      </c>
      <c r="K659">
        <f t="shared" si="43"/>
        <v>579.5</v>
      </c>
    </row>
    <row r="660" spans="1:11" x14ac:dyDescent="0.25">
      <c r="A660">
        <v>3</v>
      </c>
      <c r="B660">
        <v>464364</v>
      </c>
      <c r="C660" t="s">
        <v>1</v>
      </c>
      <c r="D660">
        <v>381</v>
      </c>
      <c r="E660" s="1">
        <v>44044</v>
      </c>
      <c r="F660">
        <v>1143</v>
      </c>
      <c r="G660">
        <v>476.25</v>
      </c>
      <c r="H660">
        <f t="shared" si="40"/>
        <v>3</v>
      </c>
      <c r="I660">
        <f t="shared" si="41"/>
        <v>1.25</v>
      </c>
      <c r="J660" s="35">
        <f t="shared" si="42"/>
        <v>1.75</v>
      </c>
      <c r="K660">
        <f t="shared" si="43"/>
        <v>666.75</v>
      </c>
    </row>
    <row r="661" spans="1:11" x14ac:dyDescent="0.25">
      <c r="A661">
        <v>3</v>
      </c>
      <c r="B661">
        <v>652401</v>
      </c>
      <c r="C661" t="s">
        <v>0</v>
      </c>
      <c r="D661">
        <v>1142</v>
      </c>
      <c r="E661" s="1">
        <v>43983</v>
      </c>
      <c r="F661">
        <v>1142</v>
      </c>
      <c r="G661">
        <v>571</v>
      </c>
      <c r="H661">
        <f t="shared" si="40"/>
        <v>1</v>
      </c>
      <c r="I661">
        <f t="shared" si="41"/>
        <v>0.5</v>
      </c>
      <c r="J661" s="35">
        <f t="shared" si="42"/>
        <v>0.5</v>
      </c>
      <c r="K661">
        <f t="shared" si="43"/>
        <v>571</v>
      </c>
    </row>
    <row r="662" spans="1:11" x14ac:dyDescent="0.25">
      <c r="A662">
        <v>4</v>
      </c>
      <c r="B662">
        <v>130685</v>
      </c>
      <c r="C662" t="s">
        <v>0</v>
      </c>
      <c r="D662">
        <v>1138</v>
      </c>
      <c r="E662" s="1">
        <v>44166</v>
      </c>
      <c r="F662">
        <v>1138</v>
      </c>
      <c r="G662">
        <v>569</v>
      </c>
      <c r="H662">
        <f t="shared" si="40"/>
        <v>1</v>
      </c>
      <c r="I662">
        <f t="shared" si="41"/>
        <v>0.5</v>
      </c>
      <c r="J662" s="35">
        <f t="shared" si="42"/>
        <v>0.5</v>
      </c>
      <c r="K662">
        <f t="shared" si="43"/>
        <v>569</v>
      </c>
    </row>
    <row r="663" spans="1:11" x14ac:dyDescent="0.25">
      <c r="A663">
        <v>4</v>
      </c>
      <c r="B663">
        <v>684001</v>
      </c>
      <c r="C663" t="s">
        <v>2</v>
      </c>
      <c r="D663">
        <v>280</v>
      </c>
      <c r="E663" s="1">
        <v>44166</v>
      </c>
      <c r="F663">
        <v>1120</v>
      </c>
      <c r="G663">
        <v>420</v>
      </c>
      <c r="H663">
        <f t="shared" si="40"/>
        <v>4</v>
      </c>
      <c r="I663">
        <f t="shared" si="41"/>
        <v>1.5</v>
      </c>
      <c r="J663" s="35">
        <f t="shared" si="42"/>
        <v>2.5</v>
      </c>
      <c r="K663">
        <f t="shared" si="43"/>
        <v>700</v>
      </c>
    </row>
    <row r="664" spans="1:11" x14ac:dyDescent="0.25">
      <c r="A664">
        <v>1</v>
      </c>
      <c r="B664">
        <v>830981</v>
      </c>
      <c r="C664" t="s">
        <v>0</v>
      </c>
      <c r="D664">
        <v>1100</v>
      </c>
      <c r="E664" s="1">
        <v>43800</v>
      </c>
      <c r="F664">
        <v>1100</v>
      </c>
      <c r="G664">
        <v>550</v>
      </c>
      <c r="H664">
        <f t="shared" si="40"/>
        <v>1</v>
      </c>
      <c r="I664">
        <f t="shared" si="41"/>
        <v>0.5</v>
      </c>
      <c r="J664" s="35">
        <f t="shared" si="42"/>
        <v>0.5</v>
      </c>
      <c r="K664">
        <f t="shared" si="43"/>
        <v>550</v>
      </c>
    </row>
    <row r="665" spans="1:11" x14ac:dyDescent="0.25">
      <c r="A665">
        <v>4</v>
      </c>
      <c r="B665">
        <v>882680</v>
      </c>
      <c r="C665" t="s">
        <v>2</v>
      </c>
      <c r="D665">
        <v>274</v>
      </c>
      <c r="E665" s="1">
        <v>44166</v>
      </c>
      <c r="F665">
        <v>1096</v>
      </c>
      <c r="G665">
        <v>411</v>
      </c>
      <c r="H665">
        <f t="shared" si="40"/>
        <v>4</v>
      </c>
      <c r="I665">
        <f t="shared" si="41"/>
        <v>1.5</v>
      </c>
      <c r="J665" s="35">
        <f t="shared" si="42"/>
        <v>2.5</v>
      </c>
      <c r="K665">
        <f t="shared" si="43"/>
        <v>685</v>
      </c>
    </row>
    <row r="666" spans="1:11" x14ac:dyDescent="0.25">
      <c r="A666">
        <v>1</v>
      </c>
      <c r="B666">
        <v>675035</v>
      </c>
      <c r="C666" t="s">
        <v>3</v>
      </c>
      <c r="D666">
        <v>218</v>
      </c>
      <c r="E666" s="1">
        <v>44075</v>
      </c>
      <c r="F666">
        <v>1090</v>
      </c>
      <c r="G666">
        <v>436</v>
      </c>
      <c r="H666">
        <f t="shared" si="40"/>
        <v>5</v>
      </c>
      <c r="I666">
        <f t="shared" si="41"/>
        <v>2</v>
      </c>
      <c r="J666" s="35">
        <f t="shared" si="42"/>
        <v>3</v>
      </c>
      <c r="K666">
        <f t="shared" si="43"/>
        <v>654</v>
      </c>
    </row>
    <row r="667" spans="1:11" x14ac:dyDescent="0.25">
      <c r="A667">
        <v>4</v>
      </c>
      <c r="B667">
        <v>881898</v>
      </c>
      <c r="C667" t="s">
        <v>1</v>
      </c>
      <c r="D667">
        <v>360</v>
      </c>
      <c r="E667" s="1">
        <v>44105</v>
      </c>
      <c r="F667">
        <v>1080</v>
      </c>
      <c r="G667">
        <v>450</v>
      </c>
      <c r="H667">
        <f t="shared" si="40"/>
        <v>3</v>
      </c>
      <c r="I667">
        <f t="shared" si="41"/>
        <v>1.25</v>
      </c>
      <c r="J667" s="35">
        <f t="shared" si="42"/>
        <v>1.75</v>
      </c>
      <c r="K667">
        <f t="shared" si="43"/>
        <v>630</v>
      </c>
    </row>
    <row r="668" spans="1:11" x14ac:dyDescent="0.25">
      <c r="A668">
        <v>4</v>
      </c>
      <c r="B668">
        <v>680427</v>
      </c>
      <c r="C668" t="s">
        <v>2</v>
      </c>
      <c r="D668">
        <v>263</v>
      </c>
      <c r="E668" s="1">
        <v>43770</v>
      </c>
      <c r="F668">
        <v>1052</v>
      </c>
      <c r="G668">
        <v>394.5</v>
      </c>
      <c r="H668">
        <f t="shared" si="40"/>
        <v>4</v>
      </c>
      <c r="I668">
        <f t="shared" si="41"/>
        <v>1.5</v>
      </c>
      <c r="J668" s="35">
        <f t="shared" si="42"/>
        <v>2.5</v>
      </c>
      <c r="K668">
        <f t="shared" si="43"/>
        <v>657.5</v>
      </c>
    </row>
    <row r="669" spans="1:11" x14ac:dyDescent="0.25">
      <c r="A669">
        <v>1</v>
      </c>
      <c r="B669">
        <v>581507</v>
      </c>
      <c r="C669" t="s">
        <v>1</v>
      </c>
      <c r="D669">
        <v>349</v>
      </c>
      <c r="E669" s="1">
        <v>43709</v>
      </c>
      <c r="F669">
        <v>1047</v>
      </c>
      <c r="G669">
        <v>436.25</v>
      </c>
      <c r="H669">
        <f t="shared" si="40"/>
        <v>3</v>
      </c>
      <c r="I669">
        <f t="shared" si="41"/>
        <v>1.25</v>
      </c>
      <c r="J669" s="35">
        <f t="shared" si="42"/>
        <v>1.75</v>
      </c>
      <c r="K669">
        <f t="shared" si="43"/>
        <v>610.75</v>
      </c>
    </row>
    <row r="670" spans="1:11" x14ac:dyDescent="0.25">
      <c r="A670">
        <v>5</v>
      </c>
      <c r="B670">
        <v>727045</v>
      </c>
      <c r="C670" t="s">
        <v>1</v>
      </c>
      <c r="D670">
        <v>341</v>
      </c>
      <c r="E670" s="1">
        <v>43952</v>
      </c>
      <c r="F670">
        <v>1023</v>
      </c>
      <c r="G670">
        <v>426.25</v>
      </c>
      <c r="H670">
        <f t="shared" si="40"/>
        <v>3</v>
      </c>
      <c r="I670">
        <f t="shared" si="41"/>
        <v>1.25</v>
      </c>
      <c r="J670" s="35">
        <f t="shared" si="42"/>
        <v>1.75</v>
      </c>
      <c r="K670">
        <f t="shared" si="43"/>
        <v>596.75</v>
      </c>
    </row>
    <row r="671" spans="1:11" x14ac:dyDescent="0.25">
      <c r="A671">
        <v>1</v>
      </c>
      <c r="B671">
        <v>348844</v>
      </c>
      <c r="C671" t="s">
        <v>0</v>
      </c>
      <c r="D671">
        <v>982.5</v>
      </c>
      <c r="E671" s="1">
        <v>43831</v>
      </c>
      <c r="F671">
        <v>982.5</v>
      </c>
      <c r="G671">
        <v>491.25</v>
      </c>
      <c r="H671">
        <f t="shared" si="40"/>
        <v>1</v>
      </c>
      <c r="I671">
        <f t="shared" si="41"/>
        <v>0.5</v>
      </c>
      <c r="J671" s="35">
        <f t="shared" si="42"/>
        <v>0.5</v>
      </c>
      <c r="K671">
        <f t="shared" si="43"/>
        <v>491.25</v>
      </c>
    </row>
    <row r="672" spans="1:11" x14ac:dyDescent="0.25">
      <c r="A672">
        <v>1</v>
      </c>
      <c r="B672">
        <v>503244</v>
      </c>
      <c r="C672" t="s">
        <v>0</v>
      </c>
      <c r="D672">
        <v>980</v>
      </c>
      <c r="E672" s="1">
        <v>43922</v>
      </c>
      <c r="F672">
        <v>980</v>
      </c>
      <c r="G672">
        <v>490</v>
      </c>
      <c r="H672">
        <f t="shared" si="40"/>
        <v>1</v>
      </c>
      <c r="I672">
        <f t="shared" si="41"/>
        <v>0.5</v>
      </c>
      <c r="J672" s="35">
        <f t="shared" si="42"/>
        <v>0.5</v>
      </c>
      <c r="K672">
        <f t="shared" si="43"/>
        <v>490</v>
      </c>
    </row>
    <row r="673" spans="1:11" x14ac:dyDescent="0.25">
      <c r="A673">
        <v>3</v>
      </c>
      <c r="B673">
        <v>440487</v>
      </c>
      <c r="C673" t="s">
        <v>0</v>
      </c>
      <c r="D673">
        <v>958</v>
      </c>
      <c r="E673" s="1">
        <v>44044</v>
      </c>
      <c r="F673">
        <v>958</v>
      </c>
      <c r="G673">
        <v>479</v>
      </c>
      <c r="H673">
        <f t="shared" si="40"/>
        <v>1</v>
      </c>
      <c r="I673">
        <f t="shared" si="41"/>
        <v>0.5</v>
      </c>
      <c r="J673" s="35">
        <f t="shared" si="42"/>
        <v>0.5</v>
      </c>
      <c r="K673">
        <f t="shared" si="43"/>
        <v>479</v>
      </c>
    </row>
    <row r="674" spans="1:11" x14ac:dyDescent="0.25">
      <c r="A674">
        <v>3</v>
      </c>
      <c r="B674">
        <v>203604</v>
      </c>
      <c r="C674" t="s">
        <v>0</v>
      </c>
      <c r="D674">
        <v>921</v>
      </c>
      <c r="E674" s="1">
        <v>43891</v>
      </c>
      <c r="F674">
        <v>921</v>
      </c>
      <c r="G674">
        <v>460.5</v>
      </c>
      <c r="H674">
        <f t="shared" si="40"/>
        <v>1</v>
      </c>
      <c r="I674">
        <f t="shared" si="41"/>
        <v>0.5</v>
      </c>
      <c r="J674" s="35">
        <f t="shared" si="42"/>
        <v>0.5</v>
      </c>
      <c r="K674">
        <f t="shared" si="43"/>
        <v>460.5</v>
      </c>
    </row>
    <row r="675" spans="1:11" x14ac:dyDescent="0.25">
      <c r="A675">
        <v>1</v>
      </c>
      <c r="B675">
        <v>887151</v>
      </c>
      <c r="C675" t="s">
        <v>1</v>
      </c>
      <c r="D675">
        <v>293</v>
      </c>
      <c r="E675" s="1">
        <v>44166</v>
      </c>
      <c r="F675">
        <v>879</v>
      </c>
      <c r="G675">
        <v>366.25</v>
      </c>
      <c r="H675">
        <f t="shared" si="40"/>
        <v>3</v>
      </c>
      <c r="I675">
        <f t="shared" si="41"/>
        <v>1.25</v>
      </c>
      <c r="J675" s="35">
        <f t="shared" si="42"/>
        <v>1.75</v>
      </c>
      <c r="K675">
        <f t="shared" si="43"/>
        <v>512.75</v>
      </c>
    </row>
    <row r="676" spans="1:11" x14ac:dyDescent="0.25">
      <c r="A676">
        <v>1</v>
      </c>
      <c r="B676">
        <v>893967</v>
      </c>
      <c r="C676" t="s">
        <v>2</v>
      </c>
      <c r="D676">
        <v>214</v>
      </c>
      <c r="E676" s="1">
        <v>43739</v>
      </c>
      <c r="F676">
        <v>856</v>
      </c>
      <c r="G676">
        <v>321</v>
      </c>
      <c r="H676">
        <f t="shared" si="40"/>
        <v>4</v>
      </c>
      <c r="I676">
        <f t="shared" si="41"/>
        <v>1.5</v>
      </c>
      <c r="J676" s="35">
        <f t="shared" si="42"/>
        <v>2.5</v>
      </c>
      <c r="K676">
        <f t="shared" si="43"/>
        <v>535</v>
      </c>
    </row>
    <row r="677" spans="1:11" x14ac:dyDescent="0.25">
      <c r="A677">
        <v>3</v>
      </c>
      <c r="B677">
        <v>528145</v>
      </c>
      <c r="C677" t="s">
        <v>1</v>
      </c>
      <c r="D677">
        <v>280</v>
      </c>
      <c r="E677" s="1">
        <v>44166</v>
      </c>
      <c r="F677">
        <v>840</v>
      </c>
      <c r="G677">
        <v>350</v>
      </c>
      <c r="H677">
        <f t="shared" si="40"/>
        <v>3</v>
      </c>
      <c r="I677">
        <f t="shared" si="41"/>
        <v>1.25</v>
      </c>
      <c r="J677" s="35">
        <f t="shared" si="42"/>
        <v>1.75</v>
      </c>
      <c r="K677">
        <f t="shared" si="43"/>
        <v>490</v>
      </c>
    </row>
    <row r="678" spans="1:11" x14ac:dyDescent="0.25">
      <c r="A678">
        <v>4</v>
      </c>
      <c r="B678">
        <v>340032</v>
      </c>
      <c r="C678" t="s">
        <v>1</v>
      </c>
      <c r="D678">
        <v>269</v>
      </c>
      <c r="E678" s="1">
        <v>43739</v>
      </c>
      <c r="F678">
        <v>807</v>
      </c>
      <c r="G678">
        <v>336.25</v>
      </c>
      <c r="H678">
        <f t="shared" si="40"/>
        <v>3</v>
      </c>
      <c r="I678">
        <f t="shared" si="41"/>
        <v>1.25</v>
      </c>
      <c r="J678" s="35">
        <f t="shared" si="42"/>
        <v>1.75</v>
      </c>
      <c r="K678">
        <f t="shared" si="43"/>
        <v>470.75</v>
      </c>
    </row>
    <row r="679" spans="1:11" x14ac:dyDescent="0.25">
      <c r="A679">
        <v>1</v>
      </c>
      <c r="B679">
        <v>199727</v>
      </c>
      <c r="C679" t="s">
        <v>1</v>
      </c>
      <c r="D679">
        <v>267</v>
      </c>
      <c r="E679" s="1">
        <v>43739</v>
      </c>
      <c r="F679">
        <v>801</v>
      </c>
      <c r="G679">
        <v>333.75</v>
      </c>
      <c r="H679">
        <f t="shared" si="40"/>
        <v>3</v>
      </c>
      <c r="I679">
        <f t="shared" si="41"/>
        <v>1.25</v>
      </c>
      <c r="J679" s="35">
        <f t="shared" si="42"/>
        <v>1.75</v>
      </c>
      <c r="K679">
        <f t="shared" si="43"/>
        <v>467.25</v>
      </c>
    </row>
    <row r="680" spans="1:11" x14ac:dyDescent="0.25">
      <c r="A680">
        <v>5</v>
      </c>
      <c r="B680">
        <v>454417</v>
      </c>
      <c r="C680" t="s">
        <v>1</v>
      </c>
      <c r="D680">
        <v>266</v>
      </c>
      <c r="E680" s="1">
        <v>43800</v>
      </c>
      <c r="F680">
        <v>798</v>
      </c>
      <c r="G680">
        <v>332.5</v>
      </c>
      <c r="H680">
        <f t="shared" si="40"/>
        <v>3</v>
      </c>
      <c r="I680">
        <f t="shared" si="41"/>
        <v>1.25</v>
      </c>
      <c r="J680" s="35">
        <f t="shared" si="42"/>
        <v>1.75</v>
      </c>
      <c r="K680">
        <f t="shared" si="43"/>
        <v>465.5</v>
      </c>
    </row>
    <row r="681" spans="1:11" x14ac:dyDescent="0.25">
      <c r="A681">
        <v>4</v>
      </c>
      <c r="B681">
        <v>735280</v>
      </c>
      <c r="C681" t="s">
        <v>1</v>
      </c>
      <c r="D681">
        <v>263</v>
      </c>
      <c r="E681" s="1">
        <v>43891</v>
      </c>
      <c r="F681">
        <v>789</v>
      </c>
      <c r="G681">
        <v>328.75</v>
      </c>
      <c r="H681">
        <f t="shared" si="40"/>
        <v>3</v>
      </c>
      <c r="I681">
        <f t="shared" si="41"/>
        <v>1.25</v>
      </c>
      <c r="J681" s="35">
        <f t="shared" si="42"/>
        <v>1.75</v>
      </c>
      <c r="K681">
        <f t="shared" si="43"/>
        <v>460.25</v>
      </c>
    </row>
    <row r="682" spans="1:11" x14ac:dyDescent="0.25">
      <c r="A682">
        <v>5</v>
      </c>
      <c r="B682">
        <v>121208</v>
      </c>
      <c r="C682" t="s">
        <v>0</v>
      </c>
      <c r="D682">
        <v>766</v>
      </c>
      <c r="E682" s="1">
        <v>43831</v>
      </c>
      <c r="F682">
        <v>766</v>
      </c>
      <c r="G682">
        <v>383</v>
      </c>
      <c r="H682">
        <f t="shared" si="40"/>
        <v>1</v>
      </c>
      <c r="I682">
        <f t="shared" si="41"/>
        <v>0.5</v>
      </c>
      <c r="J682" s="35">
        <f t="shared" si="42"/>
        <v>0.5</v>
      </c>
      <c r="K682">
        <f t="shared" si="43"/>
        <v>383</v>
      </c>
    </row>
    <row r="683" spans="1:11" x14ac:dyDescent="0.25">
      <c r="A683">
        <v>4</v>
      </c>
      <c r="B683">
        <v>594945</v>
      </c>
      <c r="C683" t="s">
        <v>0</v>
      </c>
      <c r="D683">
        <v>720</v>
      </c>
      <c r="E683" s="1">
        <v>43709</v>
      </c>
      <c r="F683">
        <v>720</v>
      </c>
      <c r="G683">
        <v>360</v>
      </c>
      <c r="H683">
        <f t="shared" si="40"/>
        <v>1</v>
      </c>
      <c r="I683">
        <f t="shared" si="41"/>
        <v>0.5</v>
      </c>
      <c r="J683" s="35">
        <f t="shared" si="42"/>
        <v>0.5</v>
      </c>
      <c r="K683">
        <f t="shared" si="43"/>
        <v>360</v>
      </c>
    </row>
    <row r="684" spans="1:11" x14ac:dyDescent="0.25">
      <c r="A684">
        <v>5</v>
      </c>
      <c r="B684">
        <v>711452</v>
      </c>
      <c r="C684" t="s">
        <v>0</v>
      </c>
      <c r="D684">
        <v>711</v>
      </c>
      <c r="E684" s="1">
        <v>44166</v>
      </c>
      <c r="F684">
        <v>711</v>
      </c>
      <c r="G684">
        <v>355.5</v>
      </c>
      <c r="H684">
        <f t="shared" si="40"/>
        <v>1</v>
      </c>
      <c r="I684">
        <f t="shared" si="41"/>
        <v>0.5</v>
      </c>
      <c r="J684" s="35">
        <f t="shared" si="42"/>
        <v>0.5</v>
      </c>
      <c r="K684">
        <f t="shared" si="43"/>
        <v>355.5</v>
      </c>
    </row>
    <row r="685" spans="1:11" x14ac:dyDescent="0.25">
      <c r="A685">
        <v>5</v>
      </c>
      <c r="B685">
        <v>123331</v>
      </c>
      <c r="C685" t="s">
        <v>0</v>
      </c>
      <c r="D685">
        <v>708</v>
      </c>
      <c r="E685" s="1">
        <v>43983</v>
      </c>
      <c r="F685">
        <v>708</v>
      </c>
      <c r="G685">
        <v>354</v>
      </c>
      <c r="H685">
        <f t="shared" si="40"/>
        <v>1</v>
      </c>
      <c r="I685">
        <f t="shared" si="41"/>
        <v>0.5</v>
      </c>
      <c r="J685" s="35">
        <f t="shared" si="42"/>
        <v>0.5</v>
      </c>
      <c r="K685">
        <f t="shared" si="43"/>
        <v>354</v>
      </c>
    </row>
    <row r="686" spans="1:11" x14ac:dyDescent="0.25">
      <c r="A686">
        <v>3</v>
      </c>
      <c r="B686">
        <v>676869</v>
      </c>
      <c r="C686" t="s">
        <v>0</v>
      </c>
      <c r="D686">
        <v>690</v>
      </c>
      <c r="E686" s="1">
        <v>44136</v>
      </c>
      <c r="F686">
        <v>690</v>
      </c>
      <c r="G686">
        <v>345</v>
      </c>
      <c r="H686">
        <f t="shared" si="40"/>
        <v>1</v>
      </c>
      <c r="I686">
        <f t="shared" si="41"/>
        <v>0.5</v>
      </c>
      <c r="J686" s="35">
        <f t="shared" si="42"/>
        <v>0.5</v>
      </c>
      <c r="K686">
        <f t="shared" si="43"/>
        <v>345</v>
      </c>
    </row>
    <row r="687" spans="1:11" x14ac:dyDescent="0.25">
      <c r="A687">
        <v>3</v>
      </c>
      <c r="B687">
        <v>517456</v>
      </c>
      <c r="C687" t="s">
        <v>0</v>
      </c>
      <c r="D687">
        <v>677</v>
      </c>
      <c r="E687" s="1">
        <v>43891</v>
      </c>
      <c r="F687">
        <v>677</v>
      </c>
      <c r="G687">
        <v>338.5</v>
      </c>
      <c r="H687">
        <f t="shared" si="40"/>
        <v>1</v>
      </c>
      <c r="I687">
        <f t="shared" si="41"/>
        <v>0.5</v>
      </c>
      <c r="J687" s="35">
        <f t="shared" si="42"/>
        <v>0.5</v>
      </c>
      <c r="K687">
        <f t="shared" si="43"/>
        <v>338.5</v>
      </c>
    </row>
    <row r="688" spans="1:11" x14ac:dyDescent="0.25">
      <c r="A688">
        <v>5</v>
      </c>
      <c r="B688">
        <v>625570</v>
      </c>
      <c r="C688" t="s">
        <v>0</v>
      </c>
      <c r="D688">
        <v>663</v>
      </c>
      <c r="E688" s="1">
        <v>43739</v>
      </c>
      <c r="F688">
        <v>663</v>
      </c>
      <c r="G688">
        <v>331.5</v>
      </c>
      <c r="H688">
        <f t="shared" si="40"/>
        <v>1</v>
      </c>
      <c r="I688">
        <f t="shared" si="41"/>
        <v>0.5</v>
      </c>
      <c r="J688" s="35">
        <f t="shared" si="42"/>
        <v>0.5</v>
      </c>
      <c r="K688">
        <f t="shared" si="43"/>
        <v>331.5</v>
      </c>
    </row>
    <row r="689" spans="1:11" x14ac:dyDescent="0.25">
      <c r="A689">
        <v>4</v>
      </c>
      <c r="B689">
        <v>219898</v>
      </c>
      <c r="C689" t="s">
        <v>0</v>
      </c>
      <c r="D689">
        <v>645</v>
      </c>
      <c r="E689" s="1">
        <v>44013</v>
      </c>
      <c r="F689">
        <v>645</v>
      </c>
      <c r="G689">
        <v>322.5</v>
      </c>
      <c r="H689">
        <f t="shared" si="40"/>
        <v>1</v>
      </c>
      <c r="I689">
        <f t="shared" si="41"/>
        <v>0.5</v>
      </c>
      <c r="J689" s="35">
        <f t="shared" si="42"/>
        <v>0.5</v>
      </c>
      <c r="K689">
        <f t="shared" si="43"/>
        <v>322.5</v>
      </c>
    </row>
    <row r="690" spans="1:11" x14ac:dyDescent="0.25">
      <c r="A690">
        <v>5</v>
      </c>
      <c r="B690">
        <v>827058</v>
      </c>
      <c r="C690" t="s">
        <v>1</v>
      </c>
      <c r="D690">
        <v>214</v>
      </c>
      <c r="E690" s="1">
        <v>43739</v>
      </c>
      <c r="F690">
        <v>642</v>
      </c>
      <c r="G690">
        <v>267.5</v>
      </c>
      <c r="H690">
        <f t="shared" si="40"/>
        <v>3</v>
      </c>
      <c r="I690">
        <f t="shared" si="41"/>
        <v>1.25</v>
      </c>
      <c r="J690" s="35">
        <f t="shared" si="42"/>
        <v>1.75</v>
      </c>
      <c r="K690">
        <f t="shared" si="43"/>
        <v>374.5</v>
      </c>
    </row>
    <row r="691" spans="1:11" x14ac:dyDescent="0.25">
      <c r="A691">
        <v>3</v>
      </c>
      <c r="B691">
        <v>227728</v>
      </c>
      <c r="C691" t="s">
        <v>0</v>
      </c>
      <c r="D691">
        <v>615</v>
      </c>
      <c r="E691" s="1">
        <v>44166</v>
      </c>
      <c r="F691">
        <v>615</v>
      </c>
      <c r="G691">
        <v>307.5</v>
      </c>
      <c r="H691">
        <f t="shared" si="40"/>
        <v>1</v>
      </c>
      <c r="I691">
        <f t="shared" si="41"/>
        <v>0.5</v>
      </c>
      <c r="J691" s="35">
        <f t="shared" si="42"/>
        <v>0.5</v>
      </c>
      <c r="K691">
        <f t="shared" si="43"/>
        <v>307.5</v>
      </c>
    </row>
    <row r="692" spans="1:11" x14ac:dyDescent="0.25">
      <c r="A692">
        <v>5</v>
      </c>
      <c r="B692">
        <v>280321</v>
      </c>
      <c r="C692" t="s">
        <v>0</v>
      </c>
      <c r="D692">
        <v>604</v>
      </c>
      <c r="E692" s="1">
        <v>43983</v>
      </c>
      <c r="F692">
        <v>604</v>
      </c>
      <c r="G692">
        <v>302</v>
      </c>
      <c r="H692">
        <f t="shared" si="40"/>
        <v>1</v>
      </c>
      <c r="I692">
        <f t="shared" si="41"/>
        <v>0.5</v>
      </c>
      <c r="J692" s="35">
        <f t="shared" si="42"/>
        <v>0.5</v>
      </c>
      <c r="K692">
        <f t="shared" si="43"/>
        <v>302</v>
      </c>
    </row>
    <row r="693" spans="1:11" x14ac:dyDescent="0.25">
      <c r="A693">
        <v>2</v>
      </c>
      <c r="B693">
        <v>894001</v>
      </c>
      <c r="C693" t="s">
        <v>0</v>
      </c>
      <c r="D693">
        <v>546</v>
      </c>
      <c r="E693" s="1">
        <v>44105</v>
      </c>
      <c r="F693">
        <v>546</v>
      </c>
      <c r="G693">
        <v>273</v>
      </c>
      <c r="H693">
        <f t="shared" si="40"/>
        <v>1</v>
      </c>
      <c r="I693">
        <f t="shared" si="41"/>
        <v>0.5</v>
      </c>
      <c r="J693" s="35">
        <f t="shared" si="42"/>
        <v>0.5</v>
      </c>
      <c r="K693">
        <f t="shared" si="43"/>
        <v>273</v>
      </c>
    </row>
    <row r="694" spans="1:11" x14ac:dyDescent="0.25">
      <c r="A694">
        <v>2</v>
      </c>
      <c r="B694">
        <v>154432</v>
      </c>
      <c r="C694" t="s">
        <v>0</v>
      </c>
      <c r="D694">
        <v>544</v>
      </c>
      <c r="E694" s="1">
        <v>44075</v>
      </c>
      <c r="F694">
        <v>544</v>
      </c>
      <c r="G694">
        <v>272</v>
      </c>
      <c r="H694">
        <f t="shared" si="40"/>
        <v>1</v>
      </c>
      <c r="I694">
        <f t="shared" si="41"/>
        <v>0.5</v>
      </c>
      <c r="J694" s="35">
        <f t="shared" si="42"/>
        <v>0.5</v>
      </c>
      <c r="K694">
        <f t="shared" si="43"/>
        <v>272</v>
      </c>
    </row>
    <row r="695" spans="1:11" x14ac:dyDescent="0.25">
      <c r="A695">
        <v>5</v>
      </c>
      <c r="B695">
        <v>119754</v>
      </c>
      <c r="C695" t="s">
        <v>0</v>
      </c>
      <c r="D695">
        <v>488</v>
      </c>
      <c r="E695" s="1">
        <v>43862</v>
      </c>
      <c r="F695">
        <v>488</v>
      </c>
      <c r="G695">
        <v>244</v>
      </c>
      <c r="H695">
        <f t="shared" si="40"/>
        <v>1</v>
      </c>
      <c r="I695">
        <f t="shared" si="41"/>
        <v>0.5</v>
      </c>
      <c r="J695" s="35">
        <f t="shared" si="42"/>
        <v>0.5</v>
      </c>
      <c r="K695">
        <f t="shared" si="43"/>
        <v>244</v>
      </c>
    </row>
    <row r="696" spans="1:11" x14ac:dyDescent="0.25">
      <c r="A696">
        <v>2</v>
      </c>
      <c r="B696">
        <v>397049</v>
      </c>
      <c r="C696" t="s">
        <v>0</v>
      </c>
      <c r="D696">
        <v>388</v>
      </c>
      <c r="E696" s="1">
        <v>44075</v>
      </c>
      <c r="F696">
        <v>388</v>
      </c>
      <c r="G696">
        <v>194</v>
      </c>
      <c r="H696">
        <f t="shared" si="40"/>
        <v>1</v>
      </c>
      <c r="I696">
        <f t="shared" si="41"/>
        <v>0.5</v>
      </c>
      <c r="J696" s="35">
        <f t="shared" si="42"/>
        <v>0.5</v>
      </c>
      <c r="K696">
        <f t="shared" si="43"/>
        <v>194</v>
      </c>
    </row>
    <row r="697" spans="1:11" x14ac:dyDescent="0.25">
      <c r="A697">
        <v>5</v>
      </c>
      <c r="B697">
        <v>439030</v>
      </c>
      <c r="C697" t="s">
        <v>0</v>
      </c>
      <c r="D697">
        <v>345</v>
      </c>
      <c r="E697" s="1">
        <v>43739</v>
      </c>
      <c r="F697">
        <v>345</v>
      </c>
      <c r="G697">
        <v>172.5</v>
      </c>
      <c r="H697">
        <f t="shared" si="40"/>
        <v>1</v>
      </c>
      <c r="I697">
        <f t="shared" si="41"/>
        <v>0.5</v>
      </c>
      <c r="J697" s="35">
        <f t="shared" si="42"/>
        <v>0.5</v>
      </c>
      <c r="K697">
        <f t="shared" si="43"/>
        <v>172.5</v>
      </c>
    </row>
    <row r="698" spans="1:11" x14ac:dyDescent="0.25">
      <c r="A698">
        <v>5</v>
      </c>
      <c r="B698">
        <v>254540</v>
      </c>
      <c r="C698" t="s">
        <v>0</v>
      </c>
      <c r="D698">
        <v>334</v>
      </c>
      <c r="E698" s="1">
        <v>43800</v>
      </c>
      <c r="F698">
        <v>334</v>
      </c>
      <c r="G698">
        <v>167</v>
      </c>
      <c r="H698">
        <f t="shared" si="40"/>
        <v>1</v>
      </c>
      <c r="I698">
        <f t="shared" si="41"/>
        <v>0.5</v>
      </c>
      <c r="J698" s="35">
        <f t="shared" si="42"/>
        <v>0.5</v>
      </c>
      <c r="K698">
        <f t="shared" si="43"/>
        <v>167</v>
      </c>
    </row>
    <row r="699" spans="1:11" x14ac:dyDescent="0.25">
      <c r="A699">
        <v>2</v>
      </c>
      <c r="B699">
        <v>503591</v>
      </c>
      <c r="C699" t="s">
        <v>0</v>
      </c>
      <c r="D699">
        <v>322</v>
      </c>
      <c r="E699" s="1">
        <v>43709</v>
      </c>
      <c r="F699">
        <v>322</v>
      </c>
      <c r="G699">
        <v>161</v>
      </c>
      <c r="H699">
        <f t="shared" si="40"/>
        <v>1</v>
      </c>
      <c r="I699">
        <f t="shared" si="41"/>
        <v>0.5</v>
      </c>
      <c r="J699" s="35">
        <f t="shared" si="42"/>
        <v>0.5</v>
      </c>
      <c r="K699">
        <f t="shared" si="43"/>
        <v>161</v>
      </c>
    </row>
    <row r="700" spans="1:11" x14ac:dyDescent="0.25">
      <c r="A700">
        <v>4</v>
      </c>
      <c r="B700">
        <v>715966</v>
      </c>
      <c r="C700" t="s">
        <v>0</v>
      </c>
      <c r="D700">
        <v>293</v>
      </c>
      <c r="E700" s="1">
        <v>43862</v>
      </c>
      <c r="F700">
        <v>293</v>
      </c>
      <c r="G700">
        <v>146.5</v>
      </c>
      <c r="H700">
        <f t="shared" si="40"/>
        <v>1</v>
      </c>
      <c r="I700">
        <f t="shared" si="41"/>
        <v>0.5</v>
      </c>
      <c r="J700" s="35">
        <f t="shared" si="42"/>
        <v>0.5</v>
      </c>
      <c r="K700">
        <f t="shared" si="43"/>
        <v>146.5</v>
      </c>
    </row>
    <row r="701" spans="1:11" x14ac:dyDescent="0.25">
      <c r="A701">
        <v>2</v>
      </c>
      <c r="B701">
        <v>205221</v>
      </c>
      <c r="C701" t="s">
        <v>0</v>
      </c>
      <c r="D701">
        <v>200</v>
      </c>
      <c r="E701" s="1">
        <v>43952</v>
      </c>
      <c r="F701">
        <v>200</v>
      </c>
      <c r="G701">
        <v>100</v>
      </c>
      <c r="H701">
        <f t="shared" si="40"/>
        <v>1</v>
      </c>
      <c r="I701">
        <f t="shared" si="41"/>
        <v>0.5</v>
      </c>
      <c r="J701" s="35">
        <f t="shared" si="42"/>
        <v>0.5</v>
      </c>
      <c r="K701">
        <f t="shared" si="43"/>
        <v>100</v>
      </c>
    </row>
  </sheetData>
  <autoFilter ref="A1:K701" xr:uid="{05465DEF-882A-4FD8-B4C7-FFA0B6F2F10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9086-A462-4861-AD4B-E7F63C252C55}">
  <dimension ref="C4:O11"/>
  <sheetViews>
    <sheetView workbookViewId="0"/>
  </sheetViews>
  <sheetFormatPr defaultRowHeight="15" x14ac:dyDescent="0.25"/>
  <cols>
    <col min="3" max="3" width="12.85546875" bestFit="1" customWidth="1"/>
    <col min="5" max="5" width="30.5703125" bestFit="1" customWidth="1"/>
    <col min="6" max="6" width="17" bestFit="1" customWidth="1"/>
    <col min="7" max="7" width="15.140625" bestFit="1" customWidth="1"/>
    <col min="8" max="8" width="8.28515625" customWidth="1"/>
    <col min="9" max="9" width="14.5703125" bestFit="1" customWidth="1"/>
    <col min="10" max="10" width="14.85546875" bestFit="1" customWidth="1"/>
    <col min="11" max="11" width="15.42578125" bestFit="1" customWidth="1"/>
    <col min="12" max="12" width="13.7109375" bestFit="1" customWidth="1"/>
    <col min="14" max="14" width="14.28515625" bestFit="1" customWidth="1"/>
  </cols>
  <sheetData>
    <row r="4" spans="3:15" ht="30" customHeight="1" x14ac:dyDescent="0.25">
      <c r="C4" s="20" t="s">
        <v>39</v>
      </c>
      <c r="E4" s="36" t="s">
        <v>9</v>
      </c>
      <c r="F4" s="36" t="s">
        <v>50</v>
      </c>
      <c r="G4" s="36" t="s">
        <v>51</v>
      </c>
      <c r="H4" s="36" t="s">
        <v>25</v>
      </c>
      <c r="I4" s="41" t="s">
        <v>55</v>
      </c>
      <c r="J4" s="41" t="s">
        <v>56</v>
      </c>
      <c r="K4" s="41" t="s">
        <v>57</v>
      </c>
      <c r="L4" s="41" t="s">
        <v>59</v>
      </c>
    </row>
    <row r="5" spans="3:15" x14ac:dyDescent="0.25">
      <c r="C5" s="18" cm="1">
        <f t="array" ref="C5:C9">_xlfn._xlws.SORT(_xlfn.UNIQUE('V2'!A2:A701))</f>
        <v>1</v>
      </c>
      <c r="E5" s="19" t="str" cm="1">
        <f t="array" ref="E5:E10">_xlfn.UNIQUE('V2'!C2:C701)</f>
        <v>White Chocolate Macadamia Nut</v>
      </c>
      <c r="F5" s="37">
        <f>VLOOKUP(E5,'V2'!C$1:H$701,6,FALSE)</f>
        <v>6</v>
      </c>
      <c r="G5" s="37">
        <f>VLOOKUP(E5,'V2'!C$1:I$701,7,FALSE)</f>
        <v>2.75</v>
      </c>
      <c r="H5" s="37">
        <f>VLOOKUP(E5,'V2'!C$1:J$701,8,FALSE)</f>
        <v>3.25</v>
      </c>
      <c r="I5" s="37">
        <f>SUMIF('V2'!C$2:C$701,'V3'!E5,'V2'!K$2:K$701)</f>
        <v>527879.625</v>
      </c>
      <c r="J5" s="24">
        <f>SUMIF('V2'!C$2:C$701,'V3'!E5,'V2'!D$2:D$701)</f>
        <v>162424.5</v>
      </c>
      <c r="K5" s="37">
        <f>SUMIF('V2'!C$2:C$701,'V3'!E5,'V2'!F$2:F$701)</f>
        <v>974547</v>
      </c>
      <c r="L5" s="19">
        <f>COUNTIF('V2'!C$2:C$701,'V3'!E5)</f>
        <v>109</v>
      </c>
      <c r="N5" s="21" t="s">
        <v>40</v>
      </c>
      <c r="O5" s="19">
        <f>COUNTA(_xlfn.ANCHORARRAY(C5))</f>
        <v>5</v>
      </c>
    </row>
    <row r="6" spans="3:15" x14ac:dyDescent="0.25">
      <c r="C6" s="18">
        <v>2</v>
      </c>
      <c r="E6" s="19" t="str">
        <v>Chocolate Chip</v>
      </c>
      <c r="F6" s="37">
        <f>VLOOKUP(E6,'V2'!C$1:H$701,6,FALSE)</f>
        <v>5</v>
      </c>
      <c r="G6" s="37">
        <f>VLOOKUP(E6,'V2'!C$1:I$701,7,FALSE)</f>
        <v>2</v>
      </c>
      <c r="H6" s="37">
        <f>VLOOKUP(E6,'V2'!C$1:J$701,8,FALSE)</f>
        <v>3</v>
      </c>
      <c r="I6" s="37">
        <f>SUMIF('V2'!C$2:C$701,'V3'!E6,'V2'!K$2:K$701)</f>
        <v>1014718.5</v>
      </c>
      <c r="J6" s="24">
        <f>SUMIF('V2'!C$2:C$701,'V3'!E6,'V2'!D$2:D$701)</f>
        <v>338239.5</v>
      </c>
      <c r="K6" s="37">
        <f>SUMIF('V2'!C$2:C$701,'V3'!E6,'V2'!F$2:F$701)</f>
        <v>1691197.5</v>
      </c>
      <c r="L6" s="19">
        <f>COUNTIF('V2'!C$2:C$701,'V3'!E6)</f>
        <v>202</v>
      </c>
      <c r="N6" s="21" t="s">
        <v>41</v>
      </c>
      <c r="O6" s="19">
        <f>COUNTA(_xlfn.ANCHORARRAY(E5))</f>
        <v>6</v>
      </c>
    </row>
    <row r="7" spans="3:15" x14ac:dyDescent="0.25">
      <c r="C7" s="18">
        <v>3</v>
      </c>
      <c r="E7" s="19" t="str">
        <v>Oatmeal Raisin</v>
      </c>
      <c r="F7" s="37">
        <f>VLOOKUP(E7,'V2'!C$1:H$701,6,FALSE)</f>
        <v>5</v>
      </c>
      <c r="G7" s="37">
        <f>VLOOKUP(E7,'V2'!C$1:I$701,7,FALSE)</f>
        <v>2.2000000000000002</v>
      </c>
      <c r="H7" s="37">
        <f>VLOOKUP(E7,'V2'!C$1:J$701,8,FALSE)</f>
        <v>2.8</v>
      </c>
      <c r="I7" s="37">
        <f>SUMIF('V2'!C$2:C$701,'V3'!E7,'V2'!K$2:K$701)</f>
        <v>434882.00000000012</v>
      </c>
      <c r="J7" s="24">
        <f>SUMIF('V2'!C$2:C$701,'V3'!E7,'V2'!D$2:D$701)</f>
        <v>155315</v>
      </c>
      <c r="K7" s="37">
        <f>SUMIF('V2'!C$2:C$701,'V3'!E7,'V2'!F$2:F$701)</f>
        <v>776575</v>
      </c>
      <c r="L7" s="19">
        <f>COUNTIF('V2'!C$2:C$701,'V3'!E7)</f>
        <v>94</v>
      </c>
    </row>
    <row r="8" spans="3:15" ht="17.25" customHeight="1" x14ac:dyDescent="0.25">
      <c r="C8" s="18">
        <v>4</v>
      </c>
      <c r="E8" s="19" t="str">
        <v>Snickerdoodle</v>
      </c>
      <c r="F8" s="37">
        <f>VLOOKUP(E8,'V2'!C$1:H$701,6,FALSE)</f>
        <v>4</v>
      </c>
      <c r="G8" s="37">
        <f>VLOOKUP(E8,'V2'!C$1:I$701,7,FALSE)</f>
        <v>1.5</v>
      </c>
      <c r="H8" s="37">
        <f>VLOOKUP(E8,'V2'!C$1:J$701,8,FALSE)</f>
        <v>2.5</v>
      </c>
      <c r="I8" s="37">
        <f>SUMIF('V2'!C$2:C$701,'V3'!E8,'V2'!K$2:K$701)</f>
        <v>367115</v>
      </c>
      <c r="J8" s="24">
        <f>SUMIF('V2'!C$2:C$701,'V3'!E8,'V2'!D$2:D$701)</f>
        <v>146846</v>
      </c>
      <c r="K8" s="37">
        <f>SUMIF('V2'!C$2:C$701,'V3'!E8,'V2'!F$2:F$701)</f>
        <v>587384</v>
      </c>
      <c r="L8" s="19">
        <f>COUNTIF('V2'!C$2:C$701,'V3'!E8)</f>
        <v>93</v>
      </c>
    </row>
    <row r="9" spans="3:15" x14ac:dyDescent="0.25">
      <c r="C9" s="18">
        <v>5</v>
      </c>
      <c r="E9" s="19" t="str">
        <v>Sugar</v>
      </c>
      <c r="F9" s="37">
        <f>VLOOKUP(E9,'V2'!C$1:H$701,6,FALSE)</f>
        <v>3</v>
      </c>
      <c r="G9" s="37">
        <f>VLOOKUP(E9,'V2'!C$1:I$701,7,FALSE)</f>
        <v>1.25</v>
      </c>
      <c r="H9" s="37">
        <f>VLOOKUP(E9,'V2'!C$1:J$701,8,FALSE)</f>
        <v>1.75</v>
      </c>
      <c r="I9" s="37">
        <f>SUMIF('V2'!C$2:C$701,'V3'!E9,'V2'!K$2:K$701)</f>
        <v>295370.25</v>
      </c>
      <c r="J9" s="24">
        <f>SUMIF('V2'!C$2:C$701,'V3'!E9,'V2'!D$2:D$701)</f>
        <v>168783</v>
      </c>
      <c r="K9" s="37">
        <f>SUMIF('V2'!C$2:C$701,'V3'!E9,'V2'!F$2:F$701)</f>
        <v>506349</v>
      </c>
      <c r="L9" s="19">
        <f>COUNTIF('V2'!C$2:C$701,'V3'!E9)</f>
        <v>109</v>
      </c>
    </row>
    <row r="10" spans="3:15" x14ac:dyDescent="0.25">
      <c r="E10" s="19" t="str">
        <v>Fortune Cookie</v>
      </c>
      <c r="F10" s="37">
        <f>VLOOKUP(E10,'V2'!C$1:H$701,6,FALSE)</f>
        <v>1</v>
      </c>
      <c r="G10" s="37">
        <f>VLOOKUP(E10,'V2'!C$1:I$701,7,FALSE)</f>
        <v>0.5</v>
      </c>
      <c r="H10" s="37">
        <f>VLOOKUP(E10,'V2'!C$1:J$701,8,FALSE)</f>
        <v>0.5</v>
      </c>
      <c r="I10" s="37">
        <f>SUMIF('V2'!C$2:C$701,'V3'!E10,'V2'!K$2:K$701)</f>
        <v>77099</v>
      </c>
      <c r="J10" s="24">
        <f>SUMIF('V2'!C$2:C$701,'V3'!E10,'V2'!D$2:D$701)</f>
        <v>154198</v>
      </c>
      <c r="K10" s="37">
        <f>SUMIF('V2'!C$2:C$701,'V3'!E10,'V2'!F$2:F$701)</f>
        <v>154198</v>
      </c>
      <c r="L10" s="19">
        <f>COUNTIF('V2'!C$2:C$701,'V3'!E10)</f>
        <v>93</v>
      </c>
    </row>
    <row r="11" spans="3:15" x14ac:dyDescent="0.25">
      <c r="I11" s="40"/>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D04A8-68F4-4A27-B936-F8A7BC3FF933}">
  <dimension ref="A1:H701"/>
  <sheetViews>
    <sheetView workbookViewId="0"/>
  </sheetViews>
  <sheetFormatPr defaultRowHeight="15" x14ac:dyDescent="0.25"/>
  <cols>
    <col min="1" max="1" width="14.7109375" bestFit="1" customWidth="1"/>
    <col min="2" max="2" width="11.28515625" bestFit="1" customWidth="1"/>
    <col min="3" max="3" width="30.5703125" bestFit="1" customWidth="1"/>
    <col min="4" max="4" width="12.28515625" bestFit="1" customWidth="1"/>
    <col min="5" max="5" width="14.42578125" style="1" customWidth="1"/>
    <col min="6" max="6" width="20.7109375" bestFit="1" customWidth="1"/>
    <col min="7" max="8" width="21.140625" customWidth="1"/>
  </cols>
  <sheetData>
    <row r="1" spans="1:8" x14ac:dyDescent="0.25">
      <c r="A1" s="8" t="s">
        <v>21</v>
      </c>
      <c r="B1" s="8" t="s">
        <v>10</v>
      </c>
      <c r="C1" s="8" t="s">
        <v>9</v>
      </c>
      <c r="D1" s="8" t="s">
        <v>8</v>
      </c>
      <c r="E1" s="9" t="s">
        <v>7</v>
      </c>
      <c r="F1" s="8" t="s">
        <v>6</v>
      </c>
      <c r="G1" s="8" t="s">
        <v>11</v>
      </c>
      <c r="H1" s="8" t="s">
        <v>12</v>
      </c>
    </row>
    <row r="2" spans="1:8" x14ac:dyDescent="0.25">
      <c r="A2">
        <v>3</v>
      </c>
      <c r="B2">
        <v>397386</v>
      </c>
      <c r="C2" t="s">
        <v>5</v>
      </c>
      <c r="D2">
        <v>3998</v>
      </c>
      <c r="E2" s="11">
        <v>43831</v>
      </c>
      <c r="F2" s="38">
        <v>23985</v>
      </c>
      <c r="G2" s="38">
        <v>10993.13</v>
      </c>
      <c r="H2">
        <v>54.17</v>
      </c>
    </row>
    <row r="3" spans="1:8" x14ac:dyDescent="0.25">
      <c r="A3">
        <v>5</v>
      </c>
      <c r="B3">
        <v>613058</v>
      </c>
      <c r="C3" t="s">
        <v>5</v>
      </c>
      <c r="D3">
        <v>3864</v>
      </c>
      <c r="E3" s="11">
        <v>43922</v>
      </c>
      <c r="F3" s="38">
        <v>23184</v>
      </c>
      <c r="G3" s="38">
        <v>10626</v>
      </c>
      <c r="H3">
        <v>54.17</v>
      </c>
    </row>
    <row r="4" spans="1:8" x14ac:dyDescent="0.25">
      <c r="A4">
        <v>4</v>
      </c>
      <c r="B4">
        <v>766402</v>
      </c>
      <c r="C4" t="s">
        <v>5</v>
      </c>
      <c r="D4">
        <v>3851</v>
      </c>
      <c r="E4" s="11">
        <v>43922</v>
      </c>
      <c r="F4" s="38">
        <v>23103</v>
      </c>
      <c r="G4" s="38">
        <v>10588.88</v>
      </c>
      <c r="H4">
        <v>54.17</v>
      </c>
    </row>
    <row r="5" spans="1:8" x14ac:dyDescent="0.25">
      <c r="A5">
        <v>4</v>
      </c>
      <c r="B5">
        <v>710702</v>
      </c>
      <c r="C5" t="s">
        <v>5</v>
      </c>
      <c r="D5">
        <v>3794</v>
      </c>
      <c r="E5" s="11">
        <v>44013</v>
      </c>
      <c r="F5" s="38">
        <v>22761</v>
      </c>
      <c r="G5" s="38">
        <v>10432.129999999999</v>
      </c>
      <c r="H5">
        <v>54.17</v>
      </c>
    </row>
    <row r="6" spans="1:8" x14ac:dyDescent="0.25">
      <c r="A6">
        <v>5</v>
      </c>
      <c r="B6">
        <v>283378</v>
      </c>
      <c r="C6" t="s">
        <v>3</v>
      </c>
      <c r="D6">
        <v>4493</v>
      </c>
      <c r="E6" s="11">
        <v>43922</v>
      </c>
      <c r="F6" s="38">
        <v>22462.5</v>
      </c>
      <c r="G6" s="38">
        <v>8985</v>
      </c>
      <c r="H6">
        <v>60</v>
      </c>
    </row>
    <row r="7" spans="1:8" x14ac:dyDescent="0.25">
      <c r="A7">
        <v>3</v>
      </c>
      <c r="B7">
        <v>239419</v>
      </c>
      <c r="C7" t="s">
        <v>3</v>
      </c>
      <c r="D7">
        <v>4251</v>
      </c>
      <c r="E7" s="11">
        <v>43831</v>
      </c>
      <c r="F7" s="38">
        <v>21255</v>
      </c>
      <c r="G7" s="38">
        <v>8502</v>
      </c>
      <c r="H7">
        <v>60</v>
      </c>
    </row>
    <row r="8" spans="1:8" x14ac:dyDescent="0.25">
      <c r="A8">
        <v>4</v>
      </c>
      <c r="B8">
        <v>739483</v>
      </c>
      <c r="C8" t="s">
        <v>4</v>
      </c>
      <c r="D8">
        <v>4220</v>
      </c>
      <c r="E8" s="11">
        <v>43922</v>
      </c>
      <c r="F8" s="38">
        <v>21097.5</v>
      </c>
      <c r="G8" s="38">
        <v>9282.9</v>
      </c>
      <c r="H8">
        <v>56</v>
      </c>
    </row>
    <row r="9" spans="1:8" x14ac:dyDescent="0.25">
      <c r="A9">
        <v>3</v>
      </c>
      <c r="B9">
        <v>253399</v>
      </c>
      <c r="C9" t="s">
        <v>3</v>
      </c>
      <c r="D9">
        <v>4026</v>
      </c>
      <c r="E9" s="11">
        <v>44013</v>
      </c>
      <c r="F9" s="38">
        <v>20130</v>
      </c>
      <c r="G9" s="38">
        <v>8052</v>
      </c>
      <c r="H9">
        <v>60</v>
      </c>
    </row>
    <row r="10" spans="1:8" x14ac:dyDescent="0.25">
      <c r="A10">
        <v>4</v>
      </c>
      <c r="B10">
        <v>361305</v>
      </c>
      <c r="C10" t="s">
        <v>3</v>
      </c>
      <c r="D10">
        <v>3945</v>
      </c>
      <c r="E10" s="11">
        <v>43831</v>
      </c>
      <c r="F10" s="38">
        <v>19725</v>
      </c>
      <c r="G10" s="38">
        <v>7890</v>
      </c>
      <c r="H10">
        <v>60</v>
      </c>
    </row>
    <row r="11" spans="1:8" x14ac:dyDescent="0.25">
      <c r="A11">
        <v>2</v>
      </c>
      <c r="B11">
        <v>603195</v>
      </c>
      <c r="C11" t="s">
        <v>3</v>
      </c>
      <c r="D11">
        <v>3801</v>
      </c>
      <c r="E11" s="11">
        <v>43922</v>
      </c>
      <c r="F11" s="38">
        <v>19005</v>
      </c>
      <c r="G11" s="38">
        <v>7602</v>
      </c>
      <c r="H11">
        <v>60</v>
      </c>
    </row>
    <row r="12" spans="1:8" x14ac:dyDescent="0.25">
      <c r="A12">
        <v>2</v>
      </c>
      <c r="B12">
        <v>643111</v>
      </c>
      <c r="C12" t="s">
        <v>3</v>
      </c>
      <c r="D12">
        <v>3675</v>
      </c>
      <c r="E12" s="11">
        <v>43922</v>
      </c>
      <c r="F12" s="38">
        <v>18375</v>
      </c>
      <c r="G12" s="38">
        <v>7350</v>
      </c>
      <c r="H12">
        <v>60</v>
      </c>
    </row>
    <row r="13" spans="1:8" x14ac:dyDescent="0.25">
      <c r="A13">
        <v>4</v>
      </c>
      <c r="B13">
        <v>861720</v>
      </c>
      <c r="C13" t="s">
        <v>5</v>
      </c>
      <c r="D13">
        <v>2966</v>
      </c>
      <c r="E13" s="11">
        <v>43739</v>
      </c>
      <c r="F13" s="38">
        <v>17796</v>
      </c>
      <c r="G13" s="38">
        <v>8156.5</v>
      </c>
      <c r="H13">
        <v>54.17</v>
      </c>
    </row>
    <row r="14" spans="1:8" x14ac:dyDescent="0.25">
      <c r="A14">
        <v>3</v>
      </c>
      <c r="B14">
        <v>272552</v>
      </c>
      <c r="C14" t="s">
        <v>4</v>
      </c>
      <c r="D14">
        <v>3521</v>
      </c>
      <c r="E14" s="11">
        <v>43922</v>
      </c>
      <c r="F14" s="38">
        <v>17602.5</v>
      </c>
      <c r="G14" s="38">
        <v>7745.1</v>
      </c>
      <c r="H14">
        <v>56</v>
      </c>
    </row>
    <row r="15" spans="1:8" x14ac:dyDescent="0.25">
      <c r="A15">
        <v>4</v>
      </c>
      <c r="B15">
        <v>459019</v>
      </c>
      <c r="C15" t="s">
        <v>3</v>
      </c>
      <c r="D15">
        <v>3513</v>
      </c>
      <c r="E15" s="11">
        <v>44013</v>
      </c>
      <c r="F15" s="38">
        <v>17565</v>
      </c>
      <c r="G15" s="38">
        <v>7026</v>
      </c>
      <c r="H15">
        <v>60</v>
      </c>
    </row>
    <row r="16" spans="1:8" x14ac:dyDescent="0.25">
      <c r="A16">
        <v>2</v>
      </c>
      <c r="B16">
        <v>628402</v>
      </c>
      <c r="C16" t="s">
        <v>3</v>
      </c>
      <c r="D16">
        <v>3495</v>
      </c>
      <c r="E16" s="11">
        <v>43831</v>
      </c>
      <c r="F16" s="38">
        <v>17475</v>
      </c>
      <c r="G16" s="38">
        <v>6990</v>
      </c>
      <c r="H16">
        <v>60</v>
      </c>
    </row>
    <row r="17" spans="1:8" x14ac:dyDescent="0.25">
      <c r="A17">
        <v>3</v>
      </c>
      <c r="B17">
        <v>567117</v>
      </c>
      <c r="C17" t="s">
        <v>5</v>
      </c>
      <c r="D17">
        <v>2907</v>
      </c>
      <c r="E17" s="11">
        <v>43983</v>
      </c>
      <c r="F17" s="38">
        <v>17442</v>
      </c>
      <c r="G17" s="38">
        <v>7994.25</v>
      </c>
      <c r="H17">
        <v>54.17</v>
      </c>
    </row>
    <row r="18" spans="1:8" x14ac:dyDescent="0.25">
      <c r="A18">
        <v>2</v>
      </c>
      <c r="B18">
        <v>426268</v>
      </c>
      <c r="C18" t="s">
        <v>5</v>
      </c>
      <c r="D18">
        <v>2877</v>
      </c>
      <c r="E18" s="11">
        <v>44105</v>
      </c>
      <c r="F18" s="38">
        <v>17262</v>
      </c>
      <c r="G18" s="38">
        <v>7911.75</v>
      </c>
      <c r="H18">
        <v>54.17</v>
      </c>
    </row>
    <row r="19" spans="1:8" x14ac:dyDescent="0.25">
      <c r="A19">
        <v>2</v>
      </c>
      <c r="B19">
        <v>824253</v>
      </c>
      <c r="C19" t="s">
        <v>3</v>
      </c>
      <c r="D19">
        <v>3450</v>
      </c>
      <c r="E19" s="11">
        <v>44013</v>
      </c>
      <c r="F19" s="38">
        <v>17250</v>
      </c>
      <c r="G19" s="38">
        <v>6900</v>
      </c>
      <c r="H19">
        <v>60</v>
      </c>
    </row>
    <row r="20" spans="1:8" x14ac:dyDescent="0.25">
      <c r="A20">
        <v>5</v>
      </c>
      <c r="B20">
        <v>165918</v>
      </c>
      <c r="C20" t="s">
        <v>5</v>
      </c>
      <c r="D20">
        <v>2861</v>
      </c>
      <c r="E20" s="11">
        <v>43831</v>
      </c>
      <c r="F20" s="38">
        <v>17166</v>
      </c>
      <c r="G20" s="38">
        <v>7867.75</v>
      </c>
      <c r="H20">
        <v>54.17</v>
      </c>
    </row>
    <row r="21" spans="1:8" x14ac:dyDescent="0.25">
      <c r="A21">
        <v>3</v>
      </c>
      <c r="B21">
        <v>261362</v>
      </c>
      <c r="C21" t="s">
        <v>4</v>
      </c>
      <c r="D21">
        <v>3422</v>
      </c>
      <c r="E21" s="11">
        <v>44013</v>
      </c>
      <c r="F21" s="38">
        <v>17107.5</v>
      </c>
      <c r="G21" s="38">
        <v>7527.3</v>
      </c>
      <c r="H21">
        <v>56</v>
      </c>
    </row>
    <row r="22" spans="1:8" x14ac:dyDescent="0.25">
      <c r="A22">
        <v>5</v>
      </c>
      <c r="B22">
        <v>864063</v>
      </c>
      <c r="C22" t="s">
        <v>5</v>
      </c>
      <c r="D22">
        <v>2832</v>
      </c>
      <c r="E22" s="11">
        <v>44044</v>
      </c>
      <c r="F22" s="38">
        <v>16992</v>
      </c>
      <c r="G22" s="38">
        <v>7788</v>
      </c>
      <c r="H22">
        <v>54.17</v>
      </c>
    </row>
    <row r="23" spans="1:8" x14ac:dyDescent="0.25">
      <c r="A23">
        <v>4</v>
      </c>
      <c r="B23">
        <v>765655</v>
      </c>
      <c r="C23" t="s">
        <v>2</v>
      </c>
      <c r="D23">
        <v>4244</v>
      </c>
      <c r="E23" s="11">
        <v>43922</v>
      </c>
      <c r="F23" s="38">
        <v>16974</v>
      </c>
      <c r="G23" s="38">
        <v>6365.25</v>
      </c>
      <c r="H23">
        <v>62.5</v>
      </c>
    </row>
    <row r="24" spans="1:8" x14ac:dyDescent="0.25">
      <c r="A24">
        <v>3</v>
      </c>
      <c r="B24">
        <v>853295</v>
      </c>
      <c r="C24" t="s">
        <v>5</v>
      </c>
      <c r="D24">
        <v>2826</v>
      </c>
      <c r="E24" s="11">
        <v>43952</v>
      </c>
      <c r="F24" s="38">
        <v>16956</v>
      </c>
      <c r="G24" s="38">
        <v>7771.5</v>
      </c>
      <c r="H24">
        <v>54.17</v>
      </c>
    </row>
    <row r="25" spans="1:8" x14ac:dyDescent="0.25">
      <c r="A25">
        <v>1</v>
      </c>
      <c r="B25">
        <v>685153</v>
      </c>
      <c r="C25" t="s">
        <v>5</v>
      </c>
      <c r="D25">
        <v>2821</v>
      </c>
      <c r="E25" s="11">
        <v>44044</v>
      </c>
      <c r="F25" s="38">
        <v>16926</v>
      </c>
      <c r="G25" s="38">
        <v>7757.75</v>
      </c>
      <c r="H25">
        <v>54.17</v>
      </c>
    </row>
    <row r="26" spans="1:8" x14ac:dyDescent="0.25">
      <c r="A26">
        <v>1</v>
      </c>
      <c r="B26">
        <v>494115</v>
      </c>
      <c r="C26" t="s">
        <v>5</v>
      </c>
      <c r="D26">
        <v>2805</v>
      </c>
      <c r="E26" s="11">
        <v>43709</v>
      </c>
      <c r="F26" s="38">
        <v>16830</v>
      </c>
      <c r="G26" s="38">
        <v>7713.75</v>
      </c>
      <c r="H26">
        <v>54.17</v>
      </c>
    </row>
    <row r="27" spans="1:8" x14ac:dyDescent="0.25">
      <c r="A27">
        <v>3</v>
      </c>
      <c r="B27">
        <v>218006</v>
      </c>
      <c r="C27" t="s">
        <v>5</v>
      </c>
      <c r="D27">
        <v>2755</v>
      </c>
      <c r="E27" s="11">
        <v>43862</v>
      </c>
      <c r="F27" s="38">
        <v>16530</v>
      </c>
      <c r="G27" s="38">
        <v>7576.25</v>
      </c>
      <c r="H27">
        <v>54.17</v>
      </c>
    </row>
    <row r="28" spans="1:8" x14ac:dyDescent="0.25">
      <c r="A28">
        <v>2</v>
      </c>
      <c r="B28">
        <v>104326</v>
      </c>
      <c r="C28" t="s">
        <v>4</v>
      </c>
      <c r="D28">
        <v>3200</v>
      </c>
      <c r="E28" s="11">
        <v>44013</v>
      </c>
      <c r="F28" s="38">
        <v>15997.5</v>
      </c>
      <c r="G28" s="38">
        <v>7038.9</v>
      </c>
      <c r="H28">
        <v>56</v>
      </c>
    </row>
    <row r="29" spans="1:8" x14ac:dyDescent="0.25">
      <c r="A29">
        <v>4</v>
      </c>
      <c r="B29">
        <v>632477</v>
      </c>
      <c r="C29" t="s">
        <v>5</v>
      </c>
      <c r="D29">
        <v>2665</v>
      </c>
      <c r="E29" s="11">
        <v>44136</v>
      </c>
      <c r="F29" s="38">
        <v>15990</v>
      </c>
      <c r="G29" s="38">
        <v>7328.75</v>
      </c>
      <c r="H29">
        <v>54.17</v>
      </c>
    </row>
    <row r="30" spans="1:8" x14ac:dyDescent="0.25">
      <c r="A30">
        <v>4</v>
      </c>
      <c r="B30">
        <v>558048</v>
      </c>
      <c r="C30" t="s">
        <v>5</v>
      </c>
      <c r="D30">
        <v>2646</v>
      </c>
      <c r="E30" s="11">
        <v>43709</v>
      </c>
      <c r="F30" s="38">
        <v>15876</v>
      </c>
      <c r="G30" s="38">
        <v>7276.5</v>
      </c>
      <c r="H30">
        <v>54.17</v>
      </c>
    </row>
    <row r="31" spans="1:8" x14ac:dyDescent="0.25">
      <c r="A31">
        <v>3</v>
      </c>
      <c r="B31">
        <v>382237</v>
      </c>
      <c r="C31" t="s">
        <v>4</v>
      </c>
      <c r="D31">
        <v>3165</v>
      </c>
      <c r="E31" s="11">
        <v>43831</v>
      </c>
      <c r="F31" s="38">
        <v>15825</v>
      </c>
      <c r="G31" s="38">
        <v>6963</v>
      </c>
      <c r="H31">
        <v>56</v>
      </c>
    </row>
    <row r="32" spans="1:8" x14ac:dyDescent="0.25">
      <c r="A32">
        <v>4</v>
      </c>
      <c r="B32">
        <v>488771</v>
      </c>
      <c r="C32" t="s">
        <v>5</v>
      </c>
      <c r="D32">
        <v>2632</v>
      </c>
      <c r="E32" s="11">
        <v>43983</v>
      </c>
      <c r="F32" s="38">
        <v>15792</v>
      </c>
      <c r="G32" s="38">
        <v>7238</v>
      </c>
      <c r="H32">
        <v>54.17</v>
      </c>
    </row>
    <row r="33" spans="1:8" x14ac:dyDescent="0.25">
      <c r="A33">
        <v>2</v>
      </c>
      <c r="B33">
        <v>507202</v>
      </c>
      <c r="C33" t="s">
        <v>5</v>
      </c>
      <c r="D33">
        <v>2628</v>
      </c>
      <c r="E33" s="11">
        <v>43922</v>
      </c>
      <c r="F33" s="38">
        <v>15768</v>
      </c>
      <c r="G33" s="38">
        <v>7227</v>
      </c>
      <c r="H33">
        <v>54.17</v>
      </c>
    </row>
    <row r="34" spans="1:8" x14ac:dyDescent="0.25">
      <c r="A34">
        <v>5</v>
      </c>
      <c r="B34">
        <v>814769</v>
      </c>
      <c r="C34" t="s">
        <v>5</v>
      </c>
      <c r="D34">
        <v>2605</v>
      </c>
      <c r="E34" s="11">
        <v>43770</v>
      </c>
      <c r="F34" s="38">
        <v>15630</v>
      </c>
      <c r="G34" s="38">
        <v>7163.75</v>
      </c>
      <c r="H34">
        <v>54.17</v>
      </c>
    </row>
    <row r="35" spans="1:8" x14ac:dyDescent="0.25">
      <c r="A35">
        <v>4</v>
      </c>
      <c r="B35">
        <v>208456</v>
      </c>
      <c r="C35" t="s">
        <v>5</v>
      </c>
      <c r="D35">
        <v>2574</v>
      </c>
      <c r="E35" s="11">
        <v>43770</v>
      </c>
      <c r="F35" s="38">
        <v>15444</v>
      </c>
      <c r="G35" s="38">
        <v>7078.5</v>
      </c>
      <c r="H35">
        <v>54.17</v>
      </c>
    </row>
    <row r="36" spans="1:8" x14ac:dyDescent="0.25">
      <c r="A36">
        <v>2</v>
      </c>
      <c r="B36">
        <v>752353</v>
      </c>
      <c r="C36" t="s">
        <v>5</v>
      </c>
      <c r="D36">
        <v>2536</v>
      </c>
      <c r="E36" s="11">
        <v>43770</v>
      </c>
      <c r="F36" s="38">
        <v>15216</v>
      </c>
      <c r="G36" s="38">
        <v>6974</v>
      </c>
      <c r="H36">
        <v>54.17</v>
      </c>
    </row>
    <row r="37" spans="1:8" x14ac:dyDescent="0.25">
      <c r="A37">
        <v>3</v>
      </c>
      <c r="B37">
        <v>215670</v>
      </c>
      <c r="C37" t="s">
        <v>4</v>
      </c>
      <c r="D37">
        <v>2993</v>
      </c>
      <c r="E37" s="11">
        <v>43891</v>
      </c>
      <c r="F37" s="38">
        <v>14965</v>
      </c>
      <c r="G37" s="38">
        <v>6584.6</v>
      </c>
      <c r="H37">
        <v>56</v>
      </c>
    </row>
    <row r="38" spans="1:8" x14ac:dyDescent="0.25">
      <c r="A38">
        <v>3</v>
      </c>
      <c r="B38">
        <v>788375</v>
      </c>
      <c r="C38" t="s">
        <v>3</v>
      </c>
      <c r="D38">
        <v>2993</v>
      </c>
      <c r="E38" s="11">
        <v>44075</v>
      </c>
      <c r="F38" s="38">
        <v>14965</v>
      </c>
      <c r="G38" s="38">
        <v>5986</v>
      </c>
      <c r="H38">
        <v>60</v>
      </c>
    </row>
    <row r="39" spans="1:8" x14ac:dyDescent="0.25">
      <c r="A39">
        <v>2</v>
      </c>
      <c r="B39">
        <v>440377</v>
      </c>
      <c r="C39" t="s">
        <v>3</v>
      </c>
      <c r="D39">
        <v>2992</v>
      </c>
      <c r="E39" s="11">
        <v>43739</v>
      </c>
      <c r="F39" s="38">
        <v>14960</v>
      </c>
      <c r="G39" s="38">
        <v>5984</v>
      </c>
      <c r="H39">
        <v>60</v>
      </c>
    </row>
    <row r="40" spans="1:8" x14ac:dyDescent="0.25">
      <c r="A40">
        <v>3</v>
      </c>
      <c r="B40">
        <v>508782</v>
      </c>
      <c r="C40" t="s">
        <v>3</v>
      </c>
      <c r="D40">
        <v>2992</v>
      </c>
      <c r="E40" s="11">
        <v>43891</v>
      </c>
      <c r="F40" s="38">
        <v>14960</v>
      </c>
      <c r="G40" s="38">
        <v>5984</v>
      </c>
      <c r="H40">
        <v>60</v>
      </c>
    </row>
    <row r="41" spans="1:8" x14ac:dyDescent="0.25">
      <c r="A41">
        <v>3</v>
      </c>
      <c r="B41">
        <v>288851</v>
      </c>
      <c r="C41" t="s">
        <v>3</v>
      </c>
      <c r="D41">
        <v>2988</v>
      </c>
      <c r="E41" s="11">
        <v>44013</v>
      </c>
      <c r="F41" s="38">
        <v>14940</v>
      </c>
      <c r="G41" s="38">
        <v>5976</v>
      </c>
      <c r="H41">
        <v>60</v>
      </c>
    </row>
    <row r="42" spans="1:8" x14ac:dyDescent="0.25">
      <c r="A42">
        <v>3</v>
      </c>
      <c r="B42">
        <v>253215</v>
      </c>
      <c r="C42" t="s">
        <v>4</v>
      </c>
      <c r="D42">
        <v>2966</v>
      </c>
      <c r="E42" s="11">
        <v>43739</v>
      </c>
      <c r="F42" s="38">
        <v>14830</v>
      </c>
      <c r="G42" s="38">
        <v>6525.2</v>
      </c>
      <c r="H42">
        <v>56</v>
      </c>
    </row>
    <row r="43" spans="1:8" x14ac:dyDescent="0.25">
      <c r="A43">
        <v>4</v>
      </c>
      <c r="B43">
        <v>233911</v>
      </c>
      <c r="C43" t="s">
        <v>5</v>
      </c>
      <c r="D43">
        <v>2460</v>
      </c>
      <c r="E43" s="11">
        <v>44013</v>
      </c>
      <c r="F43" s="38">
        <v>14760</v>
      </c>
      <c r="G43" s="38">
        <v>6765</v>
      </c>
      <c r="H43">
        <v>54.17</v>
      </c>
    </row>
    <row r="44" spans="1:8" x14ac:dyDescent="0.25">
      <c r="A44">
        <v>5</v>
      </c>
      <c r="B44">
        <v>854455</v>
      </c>
      <c r="C44" t="s">
        <v>3</v>
      </c>
      <c r="D44">
        <v>2931</v>
      </c>
      <c r="E44" s="11">
        <v>43709</v>
      </c>
      <c r="F44" s="38">
        <v>14655</v>
      </c>
      <c r="G44" s="38">
        <v>5862</v>
      </c>
      <c r="H44">
        <v>60</v>
      </c>
    </row>
    <row r="45" spans="1:8" x14ac:dyDescent="0.25">
      <c r="A45">
        <v>4</v>
      </c>
      <c r="B45">
        <v>727940</v>
      </c>
      <c r="C45" t="s">
        <v>5</v>
      </c>
      <c r="D45">
        <v>2438</v>
      </c>
      <c r="E45" s="11">
        <v>43800</v>
      </c>
      <c r="F45" s="38">
        <v>14628</v>
      </c>
      <c r="G45" s="38">
        <v>6704.5</v>
      </c>
      <c r="H45">
        <v>54.17</v>
      </c>
    </row>
    <row r="46" spans="1:8" x14ac:dyDescent="0.25">
      <c r="A46">
        <v>3</v>
      </c>
      <c r="B46">
        <v>549329</v>
      </c>
      <c r="C46" t="s">
        <v>3</v>
      </c>
      <c r="D46">
        <v>2918</v>
      </c>
      <c r="E46" s="11">
        <v>43952</v>
      </c>
      <c r="F46" s="38">
        <v>14590</v>
      </c>
      <c r="G46" s="38">
        <v>5836</v>
      </c>
      <c r="H46">
        <v>60</v>
      </c>
    </row>
    <row r="47" spans="1:8" x14ac:dyDescent="0.25">
      <c r="A47">
        <v>4</v>
      </c>
      <c r="B47">
        <v>673372</v>
      </c>
      <c r="C47" t="s">
        <v>5</v>
      </c>
      <c r="D47">
        <v>2431</v>
      </c>
      <c r="E47" s="11">
        <v>44166</v>
      </c>
      <c r="F47" s="38">
        <v>14586</v>
      </c>
      <c r="G47" s="38">
        <v>6685.25</v>
      </c>
      <c r="H47">
        <v>54.17</v>
      </c>
    </row>
    <row r="48" spans="1:8" x14ac:dyDescent="0.25">
      <c r="A48">
        <v>3</v>
      </c>
      <c r="B48">
        <v>898886</v>
      </c>
      <c r="C48" t="s">
        <v>3</v>
      </c>
      <c r="D48">
        <v>2914</v>
      </c>
      <c r="E48" s="11">
        <v>44105</v>
      </c>
      <c r="F48" s="38">
        <v>14570</v>
      </c>
      <c r="G48" s="38">
        <v>5828</v>
      </c>
      <c r="H48">
        <v>60</v>
      </c>
    </row>
    <row r="49" spans="1:8" x14ac:dyDescent="0.25">
      <c r="A49">
        <v>5</v>
      </c>
      <c r="B49">
        <v>841420</v>
      </c>
      <c r="C49" t="s">
        <v>4</v>
      </c>
      <c r="D49">
        <v>2914</v>
      </c>
      <c r="E49" s="11">
        <v>44105</v>
      </c>
      <c r="F49" s="38">
        <v>14570</v>
      </c>
      <c r="G49" s="38">
        <v>6410.8</v>
      </c>
      <c r="H49">
        <v>56</v>
      </c>
    </row>
    <row r="50" spans="1:8" x14ac:dyDescent="0.25">
      <c r="A50">
        <v>3</v>
      </c>
      <c r="B50">
        <v>755930</v>
      </c>
      <c r="C50" t="s">
        <v>4</v>
      </c>
      <c r="D50">
        <v>2907</v>
      </c>
      <c r="E50" s="11">
        <v>43983</v>
      </c>
      <c r="F50" s="38">
        <v>14535</v>
      </c>
      <c r="G50" s="38">
        <v>6395.4</v>
      </c>
      <c r="H50">
        <v>56</v>
      </c>
    </row>
    <row r="51" spans="1:8" x14ac:dyDescent="0.25">
      <c r="A51">
        <v>4</v>
      </c>
      <c r="B51">
        <v>160202</v>
      </c>
      <c r="C51" t="s">
        <v>3</v>
      </c>
      <c r="D51">
        <v>2905</v>
      </c>
      <c r="E51" s="11">
        <v>44136</v>
      </c>
      <c r="F51" s="38">
        <v>14525</v>
      </c>
      <c r="G51" s="38">
        <v>5810</v>
      </c>
      <c r="H51">
        <v>60</v>
      </c>
    </row>
    <row r="52" spans="1:8" x14ac:dyDescent="0.25">
      <c r="A52">
        <v>3</v>
      </c>
      <c r="B52">
        <v>271981</v>
      </c>
      <c r="C52" t="s">
        <v>4</v>
      </c>
      <c r="D52">
        <v>2876</v>
      </c>
      <c r="E52" s="11">
        <v>44075</v>
      </c>
      <c r="F52" s="38">
        <v>14380</v>
      </c>
      <c r="G52" s="38">
        <v>6327.2</v>
      </c>
      <c r="H52">
        <v>56</v>
      </c>
    </row>
    <row r="53" spans="1:8" x14ac:dyDescent="0.25">
      <c r="A53">
        <v>5</v>
      </c>
      <c r="B53">
        <v>177011</v>
      </c>
      <c r="C53" t="s">
        <v>3</v>
      </c>
      <c r="D53">
        <v>2852</v>
      </c>
      <c r="E53" s="11">
        <v>44166</v>
      </c>
      <c r="F53" s="38">
        <v>14260</v>
      </c>
      <c r="G53" s="38">
        <v>5704</v>
      </c>
      <c r="H53">
        <v>60</v>
      </c>
    </row>
    <row r="54" spans="1:8" x14ac:dyDescent="0.25">
      <c r="A54">
        <v>4</v>
      </c>
      <c r="B54">
        <v>251968</v>
      </c>
      <c r="C54" t="s">
        <v>3</v>
      </c>
      <c r="D54">
        <v>2851</v>
      </c>
      <c r="E54" s="11">
        <v>43952</v>
      </c>
      <c r="F54" s="38">
        <v>14255</v>
      </c>
      <c r="G54" s="38">
        <v>5702</v>
      </c>
      <c r="H54">
        <v>60</v>
      </c>
    </row>
    <row r="55" spans="1:8" x14ac:dyDescent="0.25">
      <c r="A55">
        <v>2</v>
      </c>
      <c r="B55">
        <v>374115</v>
      </c>
      <c r="C55" t="s">
        <v>4</v>
      </c>
      <c r="D55">
        <v>2844</v>
      </c>
      <c r="E55" s="11">
        <v>43952</v>
      </c>
      <c r="F55" s="38">
        <v>14220</v>
      </c>
      <c r="G55" s="38">
        <v>6256.8</v>
      </c>
      <c r="H55">
        <v>56</v>
      </c>
    </row>
    <row r="56" spans="1:8" x14ac:dyDescent="0.25">
      <c r="A56">
        <v>4</v>
      </c>
      <c r="B56">
        <v>507642</v>
      </c>
      <c r="C56" t="s">
        <v>5</v>
      </c>
      <c r="D56">
        <v>2338</v>
      </c>
      <c r="E56" s="11">
        <v>43983</v>
      </c>
      <c r="F56" s="38">
        <v>14028</v>
      </c>
      <c r="G56" s="38">
        <v>6429.5</v>
      </c>
      <c r="H56">
        <v>54.17</v>
      </c>
    </row>
    <row r="57" spans="1:8" x14ac:dyDescent="0.25">
      <c r="A57">
        <v>4</v>
      </c>
      <c r="B57">
        <v>307196</v>
      </c>
      <c r="C57" t="s">
        <v>3</v>
      </c>
      <c r="D57">
        <v>2797</v>
      </c>
      <c r="E57" s="11">
        <v>44166</v>
      </c>
      <c r="F57" s="38">
        <v>13985</v>
      </c>
      <c r="G57" s="38">
        <v>5594</v>
      </c>
      <c r="H57">
        <v>60</v>
      </c>
    </row>
    <row r="58" spans="1:8" x14ac:dyDescent="0.25">
      <c r="A58">
        <v>5</v>
      </c>
      <c r="B58">
        <v>867252</v>
      </c>
      <c r="C58" t="s">
        <v>3</v>
      </c>
      <c r="D58">
        <v>2763</v>
      </c>
      <c r="E58" s="11">
        <v>43770</v>
      </c>
      <c r="F58" s="38">
        <v>13815</v>
      </c>
      <c r="G58" s="38">
        <v>5526</v>
      </c>
      <c r="H58">
        <v>60</v>
      </c>
    </row>
    <row r="59" spans="1:8" x14ac:dyDescent="0.25">
      <c r="A59">
        <v>4</v>
      </c>
      <c r="B59">
        <v>410583</v>
      </c>
      <c r="C59" t="s">
        <v>4</v>
      </c>
      <c r="D59">
        <v>2761</v>
      </c>
      <c r="E59" s="11">
        <v>43709</v>
      </c>
      <c r="F59" s="38">
        <v>13805</v>
      </c>
      <c r="G59" s="38">
        <v>6074.2</v>
      </c>
      <c r="H59">
        <v>56</v>
      </c>
    </row>
    <row r="60" spans="1:8" x14ac:dyDescent="0.25">
      <c r="A60">
        <v>3</v>
      </c>
      <c r="B60">
        <v>876370</v>
      </c>
      <c r="C60" t="s">
        <v>2</v>
      </c>
      <c r="D60">
        <v>3446</v>
      </c>
      <c r="E60" s="11">
        <v>43922</v>
      </c>
      <c r="F60" s="38">
        <v>13782</v>
      </c>
      <c r="G60" s="38">
        <v>5168.25</v>
      </c>
      <c r="H60">
        <v>62.5</v>
      </c>
    </row>
    <row r="61" spans="1:8" x14ac:dyDescent="0.25">
      <c r="A61">
        <v>3</v>
      </c>
      <c r="B61">
        <v>378254</v>
      </c>
      <c r="C61" t="s">
        <v>5</v>
      </c>
      <c r="D61">
        <v>2294</v>
      </c>
      <c r="E61" s="11">
        <v>43739</v>
      </c>
      <c r="F61" s="38">
        <v>13764</v>
      </c>
      <c r="G61" s="38">
        <v>6308.5</v>
      </c>
      <c r="H61">
        <v>54.17</v>
      </c>
    </row>
    <row r="62" spans="1:8" x14ac:dyDescent="0.25">
      <c r="A62">
        <v>3</v>
      </c>
      <c r="B62">
        <v>736328</v>
      </c>
      <c r="C62" t="s">
        <v>4</v>
      </c>
      <c r="D62">
        <v>2750</v>
      </c>
      <c r="E62" s="11">
        <v>43862</v>
      </c>
      <c r="F62" s="38">
        <v>13750</v>
      </c>
      <c r="G62" s="38">
        <v>6050</v>
      </c>
      <c r="H62">
        <v>56</v>
      </c>
    </row>
    <row r="63" spans="1:8" x14ac:dyDescent="0.25">
      <c r="A63">
        <v>4</v>
      </c>
      <c r="B63">
        <v>723364</v>
      </c>
      <c r="C63" t="s">
        <v>4</v>
      </c>
      <c r="D63">
        <v>2734</v>
      </c>
      <c r="E63" s="11">
        <v>44105</v>
      </c>
      <c r="F63" s="38">
        <v>13670</v>
      </c>
      <c r="G63" s="38">
        <v>6014.8</v>
      </c>
      <c r="H63">
        <v>56</v>
      </c>
    </row>
    <row r="64" spans="1:8" x14ac:dyDescent="0.25">
      <c r="A64">
        <v>2</v>
      </c>
      <c r="B64">
        <v>306694</v>
      </c>
      <c r="C64" t="s">
        <v>3</v>
      </c>
      <c r="D64">
        <v>2729</v>
      </c>
      <c r="E64" s="11">
        <v>44166</v>
      </c>
      <c r="F64" s="38">
        <v>13645</v>
      </c>
      <c r="G64" s="38">
        <v>5458</v>
      </c>
      <c r="H64">
        <v>60</v>
      </c>
    </row>
    <row r="65" spans="1:8" x14ac:dyDescent="0.25">
      <c r="A65">
        <v>2</v>
      </c>
      <c r="B65">
        <v>209116</v>
      </c>
      <c r="C65" t="s">
        <v>3</v>
      </c>
      <c r="D65">
        <v>2708</v>
      </c>
      <c r="E65" s="11">
        <v>43862</v>
      </c>
      <c r="F65" s="38">
        <v>13540</v>
      </c>
      <c r="G65" s="38">
        <v>5416</v>
      </c>
      <c r="H65">
        <v>60</v>
      </c>
    </row>
    <row r="66" spans="1:8" x14ac:dyDescent="0.25">
      <c r="A66">
        <v>3</v>
      </c>
      <c r="B66">
        <v>121808</v>
      </c>
      <c r="C66" t="s">
        <v>3</v>
      </c>
      <c r="D66">
        <v>2696</v>
      </c>
      <c r="E66" s="11">
        <v>44044</v>
      </c>
      <c r="F66" s="38">
        <v>13480</v>
      </c>
      <c r="G66" s="38">
        <v>5392</v>
      </c>
      <c r="H66">
        <v>60</v>
      </c>
    </row>
    <row r="67" spans="1:8" x14ac:dyDescent="0.25">
      <c r="A67">
        <v>5</v>
      </c>
      <c r="B67">
        <v>335658</v>
      </c>
      <c r="C67" t="s">
        <v>3</v>
      </c>
      <c r="D67">
        <v>2689</v>
      </c>
      <c r="E67" s="11">
        <v>44105</v>
      </c>
      <c r="F67" s="38">
        <v>13445</v>
      </c>
      <c r="G67" s="38">
        <v>5378</v>
      </c>
      <c r="H67">
        <v>60</v>
      </c>
    </row>
    <row r="68" spans="1:8" x14ac:dyDescent="0.25">
      <c r="A68">
        <v>4</v>
      </c>
      <c r="B68">
        <v>444225</v>
      </c>
      <c r="C68" t="s">
        <v>3</v>
      </c>
      <c r="D68">
        <v>2663</v>
      </c>
      <c r="E68" s="11">
        <v>44166</v>
      </c>
      <c r="F68" s="38">
        <v>13315</v>
      </c>
      <c r="G68" s="38">
        <v>5326</v>
      </c>
      <c r="H68">
        <v>60</v>
      </c>
    </row>
    <row r="69" spans="1:8" x14ac:dyDescent="0.25">
      <c r="A69">
        <v>3</v>
      </c>
      <c r="B69">
        <v>388978</v>
      </c>
      <c r="C69" t="s">
        <v>3</v>
      </c>
      <c r="D69">
        <v>2641</v>
      </c>
      <c r="E69" s="11">
        <v>43862</v>
      </c>
      <c r="F69" s="38">
        <v>13205</v>
      </c>
      <c r="G69" s="38">
        <v>5282</v>
      </c>
      <c r="H69">
        <v>60</v>
      </c>
    </row>
    <row r="70" spans="1:8" x14ac:dyDescent="0.25">
      <c r="A70">
        <v>2</v>
      </c>
      <c r="B70">
        <v>123693</v>
      </c>
      <c r="C70" t="s">
        <v>3</v>
      </c>
      <c r="D70">
        <v>2632</v>
      </c>
      <c r="E70" s="11">
        <v>43983</v>
      </c>
      <c r="F70" s="38">
        <v>13160</v>
      </c>
      <c r="G70" s="38">
        <v>5264</v>
      </c>
      <c r="H70">
        <v>60</v>
      </c>
    </row>
    <row r="71" spans="1:8" x14ac:dyDescent="0.25">
      <c r="A71">
        <v>4</v>
      </c>
      <c r="B71">
        <v>424398</v>
      </c>
      <c r="C71" t="s">
        <v>4</v>
      </c>
      <c r="D71">
        <v>2629</v>
      </c>
      <c r="E71" s="11">
        <v>43831</v>
      </c>
      <c r="F71" s="38">
        <v>13145</v>
      </c>
      <c r="G71" s="38">
        <v>5783.8</v>
      </c>
      <c r="H71">
        <v>56</v>
      </c>
    </row>
    <row r="72" spans="1:8" x14ac:dyDescent="0.25">
      <c r="A72">
        <v>5</v>
      </c>
      <c r="B72">
        <v>587035</v>
      </c>
      <c r="C72" t="s">
        <v>3</v>
      </c>
      <c r="D72">
        <v>2620</v>
      </c>
      <c r="E72" s="11">
        <v>44075</v>
      </c>
      <c r="F72" s="38">
        <v>13100</v>
      </c>
      <c r="G72" s="38">
        <v>5240</v>
      </c>
      <c r="H72">
        <v>60</v>
      </c>
    </row>
    <row r="73" spans="1:8" x14ac:dyDescent="0.25">
      <c r="A73">
        <v>3</v>
      </c>
      <c r="B73">
        <v>375461</v>
      </c>
      <c r="C73" t="s">
        <v>5</v>
      </c>
      <c r="D73">
        <v>2177</v>
      </c>
      <c r="E73" s="11">
        <v>44105</v>
      </c>
      <c r="F73" s="38">
        <v>13062</v>
      </c>
      <c r="G73" s="38">
        <v>5986.75</v>
      </c>
      <c r="H73">
        <v>54.17</v>
      </c>
    </row>
    <row r="74" spans="1:8" x14ac:dyDescent="0.25">
      <c r="A74">
        <v>1</v>
      </c>
      <c r="B74">
        <v>806592</v>
      </c>
      <c r="C74" t="s">
        <v>5</v>
      </c>
      <c r="D74">
        <v>2161</v>
      </c>
      <c r="E74" s="11">
        <v>43891</v>
      </c>
      <c r="F74" s="38">
        <v>12966</v>
      </c>
      <c r="G74" s="38">
        <v>5942.75</v>
      </c>
      <c r="H74">
        <v>54.17</v>
      </c>
    </row>
    <row r="75" spans="1:8" x14ac:dyDescent="0.25">
      <c r="A75">
        <v>2</v>
      </c>
      <c r="B75">
        <v>431261</v>
      </c>
      <c r="C75" t="s">
        <v>5</v>
      </c>
      <c r="D75">
        <v>2145</v>
      </c>
      <c r="E75" s="11">
        <v>43739</v>
      </c>
      <c r="F75" s="38">
        <v>12870</v>
      </c>
      <c r="G75" s="38">
        <v>5898.75</v>
      </c>
      <c r="H75">
        <v>54.17</v>
      </c>
    </row>
    <row r="76" spans="1:8" x14ac:dyDescent="0.25">
      <c r="A76">
        <v>4</v>
      </c>
      <c r="B76">
        <v>702523</v>
      </c>
      <c r="C76" t="s">
        <v>4</v>
      </c>
      <c r="D76">
        <v>2574</v>
      </c>
      <c r="E76" s="11">
        <v>44044</v>
      </c>
      <c r="F76" s="38">
        <v>12870</v>
      </c>
      <c r="G76" s="38">
        <v>5662.8</v>
      </c>
      <c r="H76">
        <v>56</v>
      </c>
    </row>
    <row r="77" spans="1:8" x14ac:dyDescent="0.25">
      <c r="A77">
        <v>2</v>
      </c>
      <c r="B77">
        <v>334678</v>
      </c>
      <c r="C77" t="s">
        <v>3</v>
      </c>
      <c r="D77">
        <v>2565</v>
      </c>
      <c r="E77" s="11">
        <v>43831</v>
      </c>
      <c r="F77" s="38">
        <v>12825</v>
      </c>
      <c r="G77" s="38">
        <v>5130</v>
      </c>
      <c r="H77">
        <v>60</v>
      </c>
    </row>
    <row r="78" spans="1:8" x14ac:dyDescent="0.25">
      <c r="A78">
        <v>3</v>
      </c>
      <c r="B78">
        <v>408804</v>
      </c>
      <c r="C78" t="s">
        <v>3</v>
      </c>
      <c r="D78">
        <v>2559</v>
      </c>
      <c r="E78" s="11">
        <v>44044</v>
      </c>
      <c r="F78" s="38">
        <v>12795</v>
      </c>
      <c r="G78" s="38">
        <v>5118</v>
      </c>
      <c r="H78">
        <v>60</v>
      </c>
    </row>
    <row r="79" spans="1:8" x14ac:dyDescent="0.25">
      <c r="A79">
        <v>4</v>
      </c>
      <c r="B79">
        <v>519269</v>
      </c>
      <c r="C79" t="s">
        <v>4</v>
      </c>
      <c r="D79">
        <v>2548</v>
      </c>
      <c r="E79" s="11">
        <v>43770</v>
      </c>
      <c r="F79" s="38">
        <v>12740</v>
      </c>
      <c r="G79" s="38">
        <v>5605.6</v>
      </c>
      <c r="H79">
        <v>56</v>
      </c>
    </row>
    <row r="80" spans="1:8" x14ac:dyDescent="0.25">
      <c r="A80">
        <v>3</v>
      </c>
      <c r="B80">
        <v>844763</v>
      </c>
      <c r="C80" t="s">
        <v>3</v>
      </c>
      <c r="D80">
        <v>2535</v>
      </c>
      <c r="E80" s="11">
        <v>43922</v>
      </c>
      <c r="F80" s="38">
        <v>12675</v>
      </c>
      <c r="G80" s="38">
        <v>5070</v>
      </c>
      <c r="H80">
        <v>60</v>
      </c>
    </row>
    <row r="81" spans="1:8" x14ac:dyDescent="0.25">
      <c r="A81">
        <v>3</v>
      </c>
      <c r="B81">
        <v>436809</v>
      </c>
      <c r="C81" t="s">
        <v>3</v>
      </c>
      <c r="D81">
        <v>2532</v>
      </c>
      <c r="E81" s="11">
        <v>43922</v>
      </c>
      <c r="F81" s="38">
        <v>12660</v>
      </c>
      <c r="G81" s="38">
        <v>5064</v>
      </c>
      <c r="H81">
        <v>60</v>
      </c>
    </row>
    <row r="82" spans="1:8" x14ac:dyDescent="0.25">
      <c r="A82">
        <v>5</v>
      </c>
      <c r="B82">
        <v>764088</v>
      </c>
      <c r="C82" t="s">
        <v>5</v>
      </c>
      <c r="D82">
        <v>2110</v>
      </c>
      <c r="E82" s="11">
        <v>44075</v>
      </c>
      <c r="F82" s="38">
        <v>12660</v>
      </c>
      <c r="G82" s="38">
        <v>5802.5</v>
      </c>
      <c r="H82">
        <v>54.17</v>
      </c>
    </row>
    <row r="83" spans="1:8" x14ac:dyDescent="0.25">
      <c r="A83">
        <v>3</v>
      </c>
      <c r="B83">
        <v>684759</v>
      </c>
      <c r="C83" t="s">
        <v>3</v>
      </c>
      <c r="D83">
        <v>2518</v>
      </c>
      <c r="E83" s="11">
        <v>43983</v>
      </c>
      <c r="F83" s="38">
        <v>12590</v>
      </c>
      <c r="G83" s="38">
        <v>5036</v>
      </c>
      <c r="H83">
        <v>60</v>
      </c>
    </row>
    <row r="84" spans="1:8" x14ac:dyDescent="0.25">
      <c r="A84">
        <v>2</v>
      </c>
      <c r="B84">
        <v>894331</v>
      </c>
      <c r="C84" t="s">
        <v>5</v>
      </c>
      <c r="D84">
        <v>2092</v>
      </c>
      <c r="E84" s="11">
        <v>43770</v>
      </c>
      <c r="F84" s="38">
        <v>12552</v>
      </c>
      <c r="G84" s="38">
        <v>5753</v>
      </c>
      <c r="H84">
        <v>54.17</v>
      </c>
    </row>
    <row r="85" spans="1:8" x14ac:dyDescent="0.25">
      <c r="A85">
        <v>1</v>
      </c>
      <c r="B85">
        <v>529471</v>
      </c>
      <c r="C85" t="s">
        <v>5</v>
      </c>
      <c r="D85">
        <v>2087</v>
      </c>
      <c r="E85" s="11">
        <v>44075</v>
      </c>
      <c r="F85" s="38">
        <v>12522</v>
      </c>
      <c r="G85" s="38">
        <v>5739.25</v>
      </c>
      <c r="H85">
        <v>54.17</v>
      </c>
    </row>
    <row r="86" spans="1:8" x14ac:dyDescent="0.25">
      <c r="A86">
        <v>1</v>
      </c>
      <c r="B86">
        <v>881268</v>
      </c>
      <c r="C86" t="s">
        <v>5</v>
      </c>
      <c r="D86">
        <v>2076</v>
      </c>
      <c r="E86" s="11">
        <v>43739</v>
      </c>
      <c r="F86" s="38">
        <v>12456</v>
      </c>
      <c r="G86" s="38">
        <v>5709</v>
      </c>
      <c r="H86">
        <v>54.17</v>
      </c>
    </row>
    <row r="87" spans="1:8" x14ac:dyDescent="0.25">
      <c r="A87">
        <v>3</v>
      </c>
      <c r="B87">
        <v>683349</v>
      </c>
      <c r="C87" t="s">
        <v>4</v>
      </c>
      <c r="D87">
        <v>2475</v>
      </c>
      <c r="E87" s="11">
        <v>43891</v>
      </c>
      <c r="F87" s="38">
        <v>12375</v>
      </c>
      <c r="G87" s="38">
        <v>5445</v>
      </c>
      <c r="H87">
        <v>56</v>
      </c>
    </row>
    <row r="88" spans="1:8" x14ac:dyDescent="0.25">
      <c r="A88">
        <v>4</v>
      </c>
      <c r="B88">
        <v>140516</v>
      </c>
      <c r="C88" t="s">
        <v>4</v>
      </c>
      <c r="D88">
        <v>2475</v>
      </c>
      <c r="E88" s="11">
        <v>44044</v>
      </c>
      <c r="F88" s="38">
        <v>12375</v>
      </c>
      <c r="G88" s="38">
        <v>5445</v>
      </c>
      <c r="H88">
        <v>56</v>
      </c>
    </row>
    <row r="89" spans="1:8" x14ac:dyDescent="0.25">
      <c r="A89">
        <v>5</v>
      </c>
      <c r="B89">
        <v>703997</v>
      </c>
      <c r="C89" t="s">
        <v>3</v>
      </c>
      <c r="D89">
        <v>2472</v>
      </c>
      <c r="E89" s="11">
        <v>44075</v>
      </c>
      <c r="F89" s="38">
        <v>12360</v>
      </c>
      <c r="G89" s="38">
        <v>4944</v>
      </c>
      <c r="H89">
        <v>60</v>
      </c>
    </row>
    <row r="90" spans="1:8" x14ac:dyDescent="0.25">
      <c r="A90">
        <v>3</v>
      </c>
      <c r="B90">
        <v>864409</v>
      </c>
      <c r="C90" t="s">
        <v>3</v>
      </c>
      <c r="D90">
        <v>2470</v>
      </c>
      <c r="E90" s="11">
        <v>43709</v>
      </c>
      <c r="F90" s="38">
        <v>12350</v>
      </c>
      <c r="G90" s="38">
        <v>4940</v>
      </c>
      <c r="H90">
        <v>60</v>
      </c>
    </row>
    <row r="91" spans="1:8" x14ac:dyDescent="0.25">
      <c r="A91">
        <v>3</v>
      </c>
      <c r="B91">
        <v>496123</v>
      </c>
      <c r="C91" t="s">
        <v>3</v>
      </c>
      <c r="D91">
        <v>2460</v>
      </c>
      <c r="E91" s="11">
        <v>43983</v>
      </c>
      <c r="F91" s="38">
        <v>12300</v>
      </c>
      <c r="G91" s="38">
        <v>4920</v>
      </c>
      <c r="H91">
        <v>60</v>
      </c>
    </row>
    <row r="92" spans="1:8" x14ac:dyDescent="0.25">
      <c r="A92">
        <v>3</v>
      </c>
      <c r="B92">
        <v>235897</v>
      </c>
      <c r="C92" t="s">
        <v>4</v>
      </c>
      <c r="D92">
        <v>2460</v>
      </c>
      <c r="E92" s="11">
        <v>43983</v>
      </c>
      <c r="F92" s="38">
        <v>12300</v>
      </c>
      <c r="G92" s="38">
        <v>5412</v>
      </c>
      <c r="H92">
        <v>56</v>
      </c>
    </row>
    <row r="93" spans="1:8" x14ac:dyDescent="0.25">
      <c r="A93">
        <v>3</v>
      </c>
      <c r="B93">
        <v>120842</v>
      </c>
      <c r="C93" t="s">
        <v>3</v>
      </c>
      <c r="D93">
        <v>2441</v>
      </c>
      <c r="E93" s="11">
        <v>44105</v>
      </c>
      <c r="F93" s="38">
        <v>12205</v>
      </c>
      <c r="G93" s="38">
        <v>4882</v>
      </c>
      <c r="H93">
        <v>60</v>
      </c>
    </row>
    <row r="94" spans="1:8" x14ac:dyDescent="0.25">
      <c r="A94">
        <v>2</v>
      </c>
      <c r="B94">
        <v>859158</v>
      </c>
      <c r="C94" t="s">
        <v>3</v>
      </c>
      <c r="D94">
        <v>2435</v>
      </c>
      <c r="E94" s="11">
        <v>43831</v>
      </c>
      <c r="F94" s="38">
        <v>12172.5</v>
      </c>
      <c r="G94" s="38">
        <v>4869</v>
      </c>
      <c r="H94">
        <v>60</v>
      </c>
    </row>
    <row r="95" spans="1:8" x14ac:dyDescent="0.25">
      <c r="A95">
        <v>5</v>
      </c>
      <c r="B95">
        <v>115582</v>
      </c>
      <c r="C95" t="s">
        <v>3</v>
      </c>
      <c r="D95">
        <v>2431</v>
      </c>
      <c r="E95" s="11">
        <v>44166</v>
      </c>
      <c r="F95" s="38">
        <v>12155</v>
      </c>
      <c r="G95" s="38">
        <v>4862</v>
      </c>
      <c r="H95">
        <v>60</v>
      </c>
    </row>
    <row r="96" spans="1:8" x14ac:dyDescent="0.25">
      <c r="A96">
        <v>4</v>
      </c>
      <c r="B96">
        <v>442121</v>
      </c>
      <c r="C96" t="s">
        <v>3</v>
      </c>
      <c r="D96">
        <v>2428</v>
      </c>
      <c r="E96" s="11">
        <v>43891</v>
      </c>
      <c r="F96" s="38">
        <v>12140</v>
      </c>
      <c r="G96" s="38">
        <v>4856</v>
      </c>
      <c r="H96">
        <v>60</v>
      </c>
    </row>
    <row r="97" spans="1:8" x14ac:dyDescent="0.25">
      <c r="A97">
        <v>2</v>
      </c>
      <c r="B97">
        <v>146841</v>
      </c>
      <c r="C97" t="s">
        <v>3</v>
      </c>
      <c r="D97">
        <v>2426</v>
      </c>
      <c r="E97" s="11">
        <v>44013</v>
      </c>
      <c r="F97" s="38">
        <v>12127.5</v>
      </c>
      <c r="G97" s="38">
        <v>4851</v>
      </c>
      <c r="H97">
        <v>60</v>
      </c>
    </row>
    <row r="98" spans="1:8" x14ac:dyDescent="0.25">
      <c r="A98">
        <v>5</v>
      </c>
      <c r="B98">
        <v>527753</v>
      </c>
      <c r="C98" t="s">
        <v>3</v>
      </c>
      <c r="D98">
        <v>2417</v>
      </c>
      <c r="E98" s="11">
        <v>43831</v>
      </c>
      <c r="F98" s="38">
        <v>12085</v>
      </c>
      <c r="G98" s="38">
        <v>4834</v>
      </c>
      <c r="H98">
        <v>60</v>
      </c>
    </row>
    <row r="99" spans="1:8" x14ac:dyDescent="0.25">
      <c r="A99">
        <v>4</v>
      </c>
      <c r="B99">
        <v>899743</v>
      </c>
      <c r="C99" t="s">
        <v>5</v>
      </c>
      <c r="D99">
        <v>2009</v>
      </c>
      <c r="E99" s="11">
        <v>44105</v>
      </c>
      <c r="F99" s="38">
        <v>12054</v>
      </c>
      <c r="G99" s="38">
        <v>5524.75</v>
      </c>
      <c r="H99">
        <v>54.17</v>
      </c>
    </row>
    <row r="100" spans="1:8" x14ac:dyDescent="0.25">
      <c r="A100">
        <v>3</v>
      </c>
      <c r="B100">
        <v>231476</v>
      </c>
      <c r="C100" t="s">
        <v>3</v>
      </c>
      <c r="D100">
        <v>2409</v>
      </c>
      <c r="E100" s="11">
        <v>43709</v>
      </c>
      <c r="F100" s="38">
        <v>12045</v>
      </c>
      <c r="G100" s="38">
        <v>4818</v>
      </c>
      <c r="H100">
        <v>60</v>
      </c>
    </row>
    <row r="101" spans="1:8" x14ac:dyDescent="0.25">
      <c r="A101">
        <v>1</v>
      </c>
      <c r="B101">
        <v>727283</v>
      </c>
      <c r="C101" t="s">
        <v>2</v>
      </c>
      <c r="D101">
        <v>2996</v>
      </c>
      <c r="E101" s="11">
        <v>43739</v>
      </c>
      <c r="F101" s="38">
        <v>11984</v>
      </c>
      <c r="G101" s="38">
        <v>4494</v>
      </c>
      <c r="H101">
        <v>62.5</v>
      </c>
    </row>
    <row r="102" spans="1:8" x14ac:dyDescent="0.25">
      <c r="A102">
        <v>4</v>
      </c>
      <c r="B102">
        <v>466133</v>
      </c>
      <c r="C102" t="s">
        <v>3</v>
      </c>
      <c r="D102">
        <v>2394</v>
      </c>
      <c r="E102" s="11">
        <v>44044</v>
      </c>
      <c r="F102" s="38">
        <v>11970</v>
      </c>
      <c r="G102" s="38">
        <v>4788</v>
      </c>
      <c r="H102">
        <v>60</v>
      </c>
    </row>
    <row r="103" spans="1:8" x14ac:dyDescent="0.25">
      <c r="A103">
        <v>4</v>
      </c>
      <c r="B103">
        <v>726489</v>
      </c>
      <c r="C103" t="s">
        <v>3</v>
      </c>
      <c r="D103">
        <v>2385</v>
      </c>
      <c r="E103" s="11">
        <v>43891</v>
      </c>
      <c r="F103" s="38">
        <v>11925</v>
      </c>
      <c r="G103" s="38">
        <v>4770</v>
      </c>
      <c r="H103">
        <v>60</v>
      </c>
    </row>
    <row r="104" spans="1:8" x14ac:dyDescent="0.25">
      <c r="A104">
        <v>4</v>
      </c>
      <c r="B104">
        <v>235009</v>
      </c>
      <c r="C104" t="s">
        <v>5</v>
      </c>
      <c r="D104">
        <v>1976</v>
      </c>
      <c r="E104" s="11">
        <v>44105</v>
      </c>
      <c r="F104" s="38">
        <v>11856</v>
      </c>
      <c r="G104" s="38">
        <v>5434</v>
      </c>
      <c r="H104">
        <v>54.17</v>
      </c>
    </row>
    <row r="105" spans="1:8" x14ac:dyDescent="0.25">
      <c r="A105">
        <v>4</v>
      </c>
      <c r="B105">
        <v>550816</v>
      </c>
      <c r="C105" t="s">
        <v>3</v>
      </c>
      <c r="D105">
        <v>2363</v>
      </c>
      <c r="E105" s="11">
        <v>43862</v>
      </c>
      <c r="F105" s="38">
        <v>11815</v>
      </c>
      <c r="G105" s="38">
        <v>4726</v>
      </c>
      <c r="H105">
        <v>60</v>
      </c>
    </row>
    <row r="106" spans="1:8" x14ac:dyDescent="0.25">
      <c r="A106">
        <v>2</v>
      </c>
      <c r="B106">
        <v>751733</v>
      </c>
      <c r="C106" t="s">
        <v>5</v>
      </c>
      <c r="D106">
        <v>1967</v>
      </c>
      <c r="E106" s="11">
        <v>43891</v>
      </c>
      <c r="F106" s="38">
        <v>11802</v>
      </c>
      <c r="G106" s="38">
        <v>5409.25</v>
      </c>
      <c r="H106">
        <v>54.17</v>
      </c>
    </row>
    <row r="107" spans="1:8" x14ac:dyDescent="0.25">
      <c r="A107">
        <v>2</v>
      </c>
      <c r="B107">
        <v>678731</v>
      </c>
      <c r="C107" t="s">
        <v>3</v>
      </c>
      <c r="D107">
        <v>2349</v>
      </c>
      <c r="E107" s="11">
        <v>43709</v>
      </c>
      <c r="F107" s="38">
        <v>11745</v>
      </c>
      <c r="G107" s="38">
        <v>4698</v>
      </c>
      <c r="H107">
        <v>60</v>
      </c>
    </row>
    <row r="108" spans="1:8" x14ac:dyDescent="0.25">
      <c r="A108">
        <v>1</v>
      </c>
      <c r="B108">
        <v>779126</v>
      </c>
      <c r="C108" t="s">
        <v>3</v>
      </c>
      <c r="D108">
        <v>2327</v>
      </c>
      <c r="E108" s="11">
        <v>43952</v>
      </c>
      <c r="F108" s="38">
        <v>11635</v>
      </c>
      <c r="G108" s="38">
        <v>4654</v>
      </c>
      <c r="H108">
        <v>60</v>
      </c>
    </row>
    <row r="109" spans="1:8" x14ac:dyDescent="0.25">
      <c r="A109">
        <v>1</v>
      </c>
      <c r="B109">
        <v>219485</v>
      </c>
      <c r="C109" t="s">
        <v>1</v>
      </c>
      <c r="D109">
        <v>3875</v>
      </c>
      <c r="E109" s="11">
        <v>44013</v>
      </c>
      <c r="F109" s="38">
        <v>11623.5</v>
      </c>
      <c r="G109" s="38">
        <v>4843.13</v>
      </c>
      <c r="H109">
        <v>58.33</v>
      </c>
    </row>
    <row r="110" spans="1:8" x14ac:dyDescent="0.25">
      <c r="A110">
        <v>2</v>
      </c>
      <c r="B110">
        <v>482625</v>
      </c>
      <c r="C110" t="s">
        <v>5</v>
      </c>
      <c r="D110">
        <v>1916</v>
      </c>
      <c r="E110" s="11">
        <v>43800</v>
      </c>
      <c r="F110" s="38">
        <v>11496</v>
      </c>
      <c r="G110" s="38">
        <v>5269</v>
      </c>
      <c r="H110">
        <v>54.17</v>
      </c>
    </row>
    <row r="111" spans="1:8" x14ac:dyDescent="0.25">
      <c r="A111">
        <v>3</v>
      </c>
      <c r="B111">
        <v>176592</v>
      </c>
      <c r="C111" t="s">
        <v>3</v>
      </c>
      <c r="D111">
        <v>2299</v>
      </c>
      <c r="E111" s="11">
        <v>43739</v>
      </c>
      <c r="F111" s="38">
        <v>11495</v>
      </c>
      <c r="G111" s="38">
        <v>4598</v>
      </c>
      <c r="H111">
        <v>60</v>
      </c>
    </row>
    <row r="112" spans="1:8" x14ac:dyDescent="0.25">
      <c r="A112">
        <v>4</v>
      </c>
      <c r="B112">
        <v>579016</v>
      </c>
      <c r="C112" t="s">
        <v>3</v>
      </c>
      <c r="D112">
        <v>2296</v>
      </c>
      <c r="E112" s="11">
        <v>43862</v>
      </c>
      <c r="F112" s="38">
        <v>11480</v>
      </c>
      <c r="G112" s="38">
        <v>4592</v>
      </c>
      <c r="H112">
        <v>60</v>
      </c>
    </row>
    <row r="113" spans="1:8" x14ac:dyDescent="0.25">
      <c r="A113">
        <v>1</v>
      </c>
      <c r="B113">
        <v>866409</v>
      </c>
      <c r="C113" t="s">
        <v>2</v>
      </c>
      <c r="D113">
        <v>2852</v>
      </c>
      <c r="E113" s="11">
        <v>44166</v>
      </c>
      <c r="F113" s="38">
        <v>11408</v>
      </c>
      <c r="G113" s="38">
        <v>4278</v>
      </c>
      <c r="H113">
        <v>62.5</v>
      </c>
    </row>
    <row r="114" spans="1:8" x14ac:dyDescent="0.25">
      <c r="A114">
        <v>2</v>
      </c>
      <c r="B114">
        <v>654585</v>
      </c>
      <c r="C114" t="s">
        <v>2</v>
      </c>
      <c r="D114">
        <v>2851</v>
      </c>
      <c r="E114" s="11">
        <v>43739</v>
      </c>
      <c r="F114" s="38">
        <v>11404</v>
      </c>
      <c r="G114" s="38">
        <v>4276.5</v>
      </c>
      <c r="H114">
        <v>62.5</v>
      </c>
    </row>
    <row r="115" spans="1:8" x14ac:dyDescent="0.25">
      <c r="A115">
        <v>4</v>
      </c>
      <c r="B115">
        <v>655952</v>
      </c>
      <c r="C115" t="s">
        <v>4</v>
      </c>
      <c r="D115">
        <v>2276</v>
      </c>
      <c r="E115" s="11">
        <v>43952</v>
      </c>
      <c r="F115" s="38">
        <v>11380</v>
      </c>
      <c r="G115" s="38">
        <v>5007.2</v>
      </c>
      <c r="H115">
        <v>56</v>
      </c>
    </row>
    <row r="116" spans="1:8" x14ac:dyDescent="0.25">
      <c r="A116">
        <v>2</v>
      </c>
      <c r="B116">
        <v>779393</v>
      </c>
      <c r="C116" t="s">
        <v>2</v>
      </c>
      <c r="D116">
        <v>2844</v>
      </c>
      <c r="E116" s="11">
        <v>43983</v>
      </c>
      <c r="F116" s="38">
        <v>11376</v>
      </c>
      <c r="G116" s="38">
        <v>4266</v>
      </c>
      <c r="H116">
        <v>62.5</v>
      </c>
    </row>
    <row r="117" spans="1:8" x14ac:dyDescent="0.25">
      <c r="A117">
        <v>2</v>
      </c>
      <c r="B117">
        <v>738910</v>
      </c>
      <c r="C117" t="s">
        <v>3</v>
      </c>
      <c r="D117">
        <v>2261</v>
      </c>
      <c r="E117" s="11">
        <v>43800</v>
      </c>
      <c r="F117" s="38">
        <v>11305</v>
      </c>
      <c r="G117" s="38">
        <v>4522</v>
      </c>
      <c r="H117">
        <v>60</v>
      </c>
    </row>
    <row r="118" spans="1:8" x14ac:dyDescent="0.25">
      <c r="A118">
        <v>4</v>
      </c>
      <c r="B118">
        <v>384743</v>
      </c>
      <c r="C118" t="s">
        <v>2</v>
      </c>
      <c r="D118">
        <v>2821</v>
      </c>
      <c r="E118" s="11">
        <v>43800</v>
      </c>
      <c r="F118" s="38">
        <v>11284</v>
      </c>
      <c r="G118" s="38">
        <v>4231.5</v>
      </c>
      <c r="H118">
        <v>62.5</v>
      </c>
    </row>
    <row r="119" spans="1:8" x14ac:dyDescent="0.25">
      <c r="A119">
        <v>2</v>
      </c>
      <c r="B119">
        <v>327555</v>
      </c>
      <c r="C119" t="s">
        <v>2</v>
      </c>
      <c r="D119">
        <v>2811</v>
      </c>
      <c r="E119" s="11">
        <v>44013</v>
      </c>
      <c r="F119" s="38">
        <v>11244</v>
      </c>
      <c r="G119" s="38">
        <v>4216.5</v>
      </c>
      <c r="H119">
        <v>62.5</v>
      </c>
    </row>
    <row r="120" spans="1:8" x14ac:dyDescent="0.25">
      <c r="A120">
        <v>3</v>
      </c>
      <c r="B120">
        <v>761022</v>
      </c>
      <c r="C120" t="s">
        <v>4</v>
      </c>
      <c r="D120">
        <v>2240</v>
      </c>
      <c r="E120" s="11">
        <v>43862</v>
      </c>
      <c r="F120" s="38">
        <v>11200</v>
      </c>
      <c r="G120" s="38">
        <v>4928</v>
      </c>
      <c r="H120">
        <v>56</v>
      </c>
    </row>
    <row r="121" spans="1:8" x14ac:dyDescent="0.25">
      <c r="A121">
        <v>2</v>
      </c>
      <c r="B121">
        <v>812448</v>
      </c>
      <c r="C121" t="s">
        <v>2</v>
      </c>
      <c r="D121">
        <v>2791</v>
      </c>
      <c r="E121" s="11">
        <v>44136</v>
      </c>
      <c r="F121" s="38">
        <v>11164</v>
      </c>
      <c r="G121" s="38">
        <v>4186.5</v>
      </c>
      <c r="H121">
        <v>62.5</v>
      </c>
    </row>
    <row r="122" spans="1:8" x14ac:dyDescent="0.25">
      <c r="A122">
        <v>4</v>
      </c>
      <c r="B122">
        <v>754823</v>
      </c>
      <c r="C122" t="s">
        <v>3</v>
      </c>
      <c r="D122">
        <v>2222</v>
      </c>
      <c r="E122" s="11">
        <v>43770</v>
      </c>
      <c r="F122" s="38">
        <v>11110</v>
      </c>
      <c r="G122" s="38">
        <v>4444</v>
      </c>
      <c r="H122">
        <v>60</v>
      </c>
    </row>
    <row r="123" spans="1:8" x14ac:dyDescent="0.25">
      <c r="A123">
        <v>4</v>
      </c>
      <c r="B123">
        <v>858434</v>
      </c>
      <c r="C123" t="s">
        <v>2</v>
      </c>
      <c r="D123">
        <v>2767</v>
      </c>
      <c r="E123" s="11">
        <v>44044</v>
      </c>
      <c r="F123" s="38">
        <v>11068</v>
      </c>
      <c r="G123" s="38">
        <v>4150.5</v>
      </c>
      <c r="H123">
        <v>62.5</v>
      </c>
    </row>
    <row r="124" spans="1:8" x14ac:dyDescent="0.25">
      <c r="A124">
        <v>3</v>
      </c>
      <c r="B124">
        <v>698245</v>
      </c>
      <c r="C124" t="s">
        <v>3</v>
      </c>
      <c r="D124">
        <v>2198</v>
      </c>
      <c r="E124" s="11">
        <v>44044</v>
      </c>
      <c r="F124" s="38">
        <v>10990</v>
      </c>
      <c r="G124" s="38">
        <v>4396</v>
      </c>
      <c r="H124">
        <v>60</v>
      </c>
    </row>
    <row r="125" spans="1:8" x14ac:dyDescent="0.25">
      <c r="A125">
        <v>2</v>
      </c>
      <c r="B125">
        <v>356550</v>
      </c>
      <c r="C125" t="s">
        <v>5</v>
      </c>
      <c r="D125">
        <v>1808</v>
      </c>
      <c r="E125" s="11">
        <v>44136</v>
      </c>
      <c r="F125" s="38">
        <v>10848</v>
      </c>
      <c r="G125" s="38">
        <v>4972</v>
      </c>
      <c r="H125">
        <v>54.17</v>
      </c>
    </row>
    <row r="126" spans="1:8" x14ac:dyDescent="0.25">
      <c r="A126">
        <v>3</v>
      </c>
      <c r="B126">
        <v>712767</v>
      </c>
      <c r="C126" t="s">
        <v>3</v>
      </c>
      <c r="D126">
        <v>2167</v>
      </c>
      <c r="E126" s="11">
        <v>43739</v>
      </c>
      <c r="F126" s="38">
        <v>10835</v>
      </c>
      <c r="G126" s="38">
        <v>4334</v>
      </c>
      <c r="H126">
        <v>60</v>
      </c>
    </row>
    <row r="127" spans="1:8" x14ac:dyDescent="0.25">
      <c r="A127">
        <v>4</v>
      </c>
      <c r="B127">
        <v>775360</v>
      </c>
      <c r="C127" t="s">
        <v>5</v>
      </c>
      <c r="D127">
        <v>1804</v>
      </c>
      <c r="E127" s="11">
        <v>43862</v>
      </c>
      <c r="F127" s="38">
        <v>10824</v>
      </c>
      <c r="G127" s="38">
        <v>4961</v>
      </c>
      <c r="H127">
        <v>54.17</v>
      </c>
    </row>
    <row r="128" spans="1:8" x14ac:dyDescent="0.25">
      <c r="A128">
        <v>5</v>
      </c>
      <c r="B128">
        <v>535522</v>
      </c>
      <c r="C128" t="s">
        <v>2</v>
      </c>
      <c r="D128">
        <v>2706</v>
      </c>
      <c r="E128" s="11">
        <v>43770</v>
      </c>
      <c r="F128" s="38">
        <v>10824</v>
      </c>
      <c r="G128" s="38">
        <v>4059</v>
      </c>
      <c r="H128">
        <v>62.5</v>
      </c>
    </row>
    <row r="129" spans="1:8" x14ac:dyDescent="0.25">
      <c r="A129">
        <v>5</v>
      </c>
      <c r="B129">
        <v>441751</v>
      </c>
      <c r="C129" t="s">
        <v>4</v>
      </c>
      <c r="D129">
        <v>2157</v>
      </c>
      <c r="E129" s="11">
        <v>44166</v>
      </c>
      <c r="F129" s="38">
        <v>10785</v>
      </c>
      <c r="G129" s="38">
        <v>4745.3999999999996</v>
      </c>
      <c r="H129">
        <v>56</v>
      </c>
    </row>
    <row r="130" spans="1:8" x14ac:dyDescent="0.25">
      <c r="A130">
        <v>5</v>
      </c>
      <c r="B130">
        <v>714255</v>
      </c>
      <c r="C130" t="s">
        <v>3</v>
      </c>
      <c r="D130">
        <v>2156</v>
      </c>
      <c r="E130" s="11">
        <v>44105</v>
      </c>
      <c r="F130" s="38">
        <v>10780</v>
      </c>
      <c r="G130" s="38">
        <v>4312</v>
      </c>
      <c r="H130">
        <v>60</v>
      </c>
    </row>
    <row r="131" spans="1:8" x14ac:dyDescent="0.25">
      <c r="A131">
        <v>1</v>
      </c>
      <c r="B131">
        <v>481324</v>
      </c>
      <c r="C131" t="s">
        <v>3</v>
      </c>
      <c r="D131">
        <v>2155</v>
      </c>
      <c r="E131" s="11">
        <v>44166</v>
      </c>
      <c r="F131" s="38">
        <v>10775</v>
      </c>
      <c r="G131" s="38">
        <v>4310</v>
      </c>
      <c r="H131">
        <v>60</v>
      </c>
    </row>
    <row r="132" spans="1:8" x14ac:dyDescent="0.25">
      <c r="A132">
        <v>5</v>
      </c>
      <c r="B132">
        <v>529550</v>
      </c>
      <c r="C132" t="s">
        <v>3</v>
      </c>
      <c r="D132">
        <v>2152</v>
      </c>
      <c r="E132" s="11">
        <v>43800</v>
      </c>
      <c r="F132" s="38">
        <v>10760</v>
      </c>
      <c r="G132" s="38">
        <v>4304</v>
      </c>
      <c r="H132">
        <v>60</v>
      </c>
    </row>
    <row r="133" spans="1:8" x14ac:dyDescent="0.25">
      <c r="A133">
        <v>1</v>
      </c>
      <c r="B133">
        <v>483789</v>
      </c>
      <c r="C133" t="s">
        <v>2</v>
      </c>
      <c r="D133">
        <v>2689</v>
      </c>
      <c r="E133" s="11">
        <v>44136</v>
      </c>
      <c r="F133" s="38">
        <v>10756</v>
      </c>
      <c r="G133" s="38">
        <v>4033.5</v>
      </c>
      <c r="H133">
        <v>62.5</v>
      </c>
    </row>
    <row r="134" spans="1:8" x14ac:dyDescent="0.25">
      <c r="A134">
        <v>3</v>
      </c>
      <c r="B134">
        <v>708450</v>
      </c>
      <c r="C134" t="s">
        <v>3</v>
      </c>
      <c r="D134">
        <v>2151</v>
      </c>
      <c r="E134" s="11">
        <v>43770</v>
      </c>
      <c r="F134" s="38">
        <v>10755</v>
      </c>
      <c r="G134" s="38">
        <v>4302</v>
      </c>
      <c r="H134">
        <v>60</v>
      </c>
    </row>
    <row r="135" spans="1:8" x14ac:dyDescent="0.25">
      <c r="A135">
        <v>2</v>
      </c>
      <c r="B135">
        <v>389356</v>
      </c>
      <c r="C135" t="s">
        <v>3</v>
      </c>
      <c r="D135">
        <v>2150</v>
      </c>
      <c r="E135" s="11">
        <v>44136</v>
      </c>
      <c r="F135" s="38">
        <v>10750</v>
      </c>
      <c r="G135" s="38">
        <v>4300</v>
      </c>
      <c r="H135">
        <v>60</v>
      </c>
    </row>
    <row r="136" spans="1:8" x14ac:dyDescent="0.25">
      <c r="A136">
        <v>3</v>
      </c>
      <c r="B136">
        <v>263663</v>
      </c>
      <c r="C136" t="s">
        <v>3</v>
      </c>
      <c r="D136">
        <v>2146</v>
      </c>
      <c r="E136" s="11">
        <v>43770</v>
      </c>
      <c r="F136" s="38">
        <v>10730</v>
      </c>
      <c r="G136" s="38">
        <v>4292</v>
      </c>
      <c r="H136">
        <v>60</v>
      </c>
    </row>
    <row r="137" spans="1:8" x14ac:dyDescent="0.25">
      <c r="A137">
        <v>3</v>
      </c>
      <c r="B137">
        <v>505159</v>
      </c>
      <c r="C137" t="s">
        <v>3</v>
      </c>
      <c r="D137">
        <v>2145</v>
      </c>
      <c r="E137" s="11">
        <v>43739</v>
      </c>
      <c r="F137" s="38">
        <v>10725</v>
      </c>
      <c r="G137" s="38">
        <v>4290</v>
      </c>
      <c r="H137">
        <v>60</v>
      </c>
    </row>
    <row r="138" spans="1:8" x14ac:dyDescent="0.25">
      <c r="A138">
        <v>2</v>
      </c>
      <c r="B138">
        <v>348619</v>
      </c>
      <c r="C138" t="s">
        <v>4</v>
      </c>
      <c r="D138">
        <v>2141</v>
      </c>
      <c r="E138" s="11">
        <v>44044</v>
      </c>
      <c r="F138" s="38">
        <v>10705</v>
      </c>
      <c r="G138" s="38">
        <v>4710.2</v>
      </c>
      <c r="H138">
        <v>56</v>
      </c>
    </row>
    <row r="139" spans="1:8" x14ac:dyDescent="0.25">
      <c r="A139">
        <v>5</v>
      </c>
      <c r="B139">
        <v>111799</v>
      </c>
      <c r="C139" t="s">
        <v>2</v>
      </c>
      <c r="D139">
        <v>2671</v>
      </c>
      <c r="E139" s="11">
        <v>44075</v>
      </c>
      <c r="F139" s="38">
        <v>10684</v>
      </c>
      <c r="G139" s="38">
        <v>4006.5</v>
      </c>
      <c r="H139">
        <v>62.5</v>
      </c>
    </row>
    <row r="140" spans="1:8" x14ac:dyDescent="0.25">
      <c r="A140">
        <v>4</v>
      </c>
      <c r="B140">
        <v>685544</v>
      </c>
      <c r="C140" t="s">
        <v>3</v>
      </c>
      <c r="D140">
        <v>2136</v>
      </c>
      <c r="E140" s="11">
        <v>43800</v>
      </c>
      <c r="F140" s="38">
        <v>10680</v>
      </c>
      <c r="G140" s="38">
        <v>4272</v>
      </c>
      <c r="H140">
        <v>60</v>
      </c>
    </row>
    <row r="141" spans="1:8" x14ac:dyDescent="0.25">
      <c r="A141">
        <v>3</v>
      </c>
      <c r="B141">
        <v>146778</v>
      </c>
      <c r="C141" t="s">
        <v>3</v>
      </c>
      <c r="D141">
        <v>2125</v>
      </c>
      <c r="E141" s="11">
        <v>43800</v>
      </c>
      <c r="F141" s="38">
        <v>10625</v>
      </c>
      <c r="G141" s="38">
        <v>4250</v>
      </c>
      <c r="H141">
        <v>60</v>
      </c>
    </row>
    <row r="142" spans="1:8" x14ac:dyDescent="0.25">
      <c r="A142">
        <v>1</v>
      </c>
      <c r="B142">
        <v>636993</v>
      </c>
      <c r="C142" t="s">
        <v>3</v>
      </c>
      <c r="D142">
        <v>2116</v>
      </c>
      <c r="E142" s="11">
        <v>43800</v>
      </c>
      <c r="F142" s="38">
        <v>10580</v>
      </c>
      <c r="G142" s="38">
        <v>4232</v>
      </c>
      <c r="H142">
        <v>60</v>
      </c>
    </row>
    <row r="143" spans="1:8" x14ac:dyDescent="0.25">
      <c r="A143">
        <v>3</v>
      </c>
      <c r="B143">
        <v>735406</v>
      </c>
      <c r="C143" t="s">
        <v>3</v>
      </c>
      <c r="D143">
        <v>2105</v>
      </c>
      <c r="E143" s="11">
        <v>44013</v>
      </c>
      <c r="F143" s="38">
        <v>10522.5</v>
      </c>
      <c r="G143" s="38">
        <v>4209</v>
      </c>
      <c r="H143">
        <v>60</v>
      </c>
    </row>
    <row r="144" spans="1:8" x14ac:dyDescent="0.25">
      <c r="A144">
        <v>5</v>
      </c>
      <c r="B144">
        <v>126864</v>
      </c>
      <c r="C144" t="s">
        <v>3</v>
      </c>
      <c r="D144">
        <v>2101</v>
      </c>
      <c r="E144" s="11">
        <v>44044</v>
      </c>
      <c r="F144" s="38">
        <v>10505</v>
      </c>
      <c r="G144" s="38">
        <v>4202</v>
      </c>
      <c r="H144">
        <v>60</v>
      </c>
    </row>
    <row r="145" spans="1:8" x14ac:dyDescent="0.25">
      <c r="A145">
        <v>3</v>
      </c>
      <c r="B145">
        <v>657776</v>
      </c>
      <c r="C145" t="s">
        <v>4</v>
      </c>
      <c r="D145">
        <v>2076</v>
      </c>
      <c r="E145" s="11">
        <v>43739</v>
      </c>
      <c r="F145" s="38">
        <v>10380</v>
      </c>
      <c r="G145" s="38">
        <v>4567.2</v>
      </c>
      <c r="H145">
        <v>56</v>
      </c>
    </row>
    <row r="146" spans="1:8" x14ac:dyDescent="0.25">
      <c r="A146">
        <v>3</v>
      </c>
      <c r="B146">
        <v>255145</v>
      </c>
      <c r="C146" t="s">
        <v>3</v>
      </c>
      <c r="D146">
        <v>2074</v>
      </c>
      <c r="E146" s="11">
        <v>44075</v>
      </c>
      <c r="F146" s="38">
        <v>10370</v>
      </c>
      <c r="G146" s="38">
        <v>4148</v>
      </c>
      <c r="H146">
        <v>60</v>
      </c>
    </row>
    <row r="147" spans="1:8" x14ac:dyDescent="0.25">
      <c r="A147">
        <v>5</v>
      </c>
      <c r="B147">
        <v>190154</v>
      </c>
      <c r="C147" t="s">
        <v>4</v>
      </c>
      <c r="D147">
        <v>2072</v>
      </c>
      <c r="E147" s="11">
        <v>44166</v>
      </c>
      <c r="F147" s="38">
        <v>10360</v>
      </c>
      <c r="G147" s="38">
        <v>4558.3999999999996</v>
      </c>
      <c r="H147">
        <v>56</v>
      </c>
    </row>
    <row r="148" spans="1:8" x14ac:dyDescent="0.25">
      <c r="A148">
        <v>3</v>
      </c>
      <c r="B148">
        <v>444725</v>
      </c>
      <c r="C148" t="s">
        <v>4</v>
      </c>
      <c r="D148">
        <v>2071</v>
      </c>
      <c r="E148" s="11">
        <v>44075</v>
      </c>
      <c r="F148" s="38">
        <v>10355</v>
      </c>
      <c r="G148" s="38">
        <v>4556.2</v>
      </c>
      <c r="H148">
        <v>56</v>
      </c>
    </row>
    <row r="149" spans="1:8" x14ac:dyDescent="0.25">
      <c r="A149">
        <v>1</v>
      </c>
      <c r="B149">
        <v>732442</v>
      </c>
      <c r="C149" t="s">
        <v>2</v>
      </c>
      <c r="D149">
        <v>2580</v>
      </c>
      <c r="E149" s="11">
        <v>43922</v>
      </c>
      <c r="F149" s="38">
        <v>10320</v>
      </c>
      <c r="G149" s="38">
        <v>3870</v>
      </c>
      <c r="H149">
        <v>62.5</v>
      </c>
    </row>
    <row r="150" spans="1:8" x14ac:dyDescent="0.25">
      <c r="A150">
        <v>4</v>
      </c>
      <c r="B150">
        <v>455417</v>
      </c>
      <c r="C150" t="s">
        <v>2</v>
      </c>
      <c r="D150">
        <v>2579</v>
      </c>
      <c r="E150" s="11">
        <v>43922</v>
      </c>
      <c r="F150" s="38">
        <v>10316</v>
      </c>
      <c r="G150" s="38">
        <v>3868.5</v>
      </c>
      <c r="H150">
        <v>62.5</v>
      </c>
    </row>
    <row r="151" spans="1:8" x14ac:dyDescent="0.25">
      <c r="A151">
        <v>5</v>
      </c>
      <c r="B151">
        <v>759173</v>
      </c>
      <c r="C151" t="s">
        <v>2</v>
      </c>
      <c r="D151">
        <v>2567</v>
      </c>
      <c r="E151" s="11">
        <v>43983</v>
      </c>
      <c r="F151" s="38">
        <v>10268</v>
      </c>
      <c r="G151" s="38">
        <v>3850.5</v>
      </c>
      <c r="H151">
        <v>62.5</v>
      </c>
    </row>
    <row r="152" spans="1:8" x14ac:dyDescent="0.25">
      <c r="A152">
        <v>4</v>
      </c>
      <c r="B152">
        <v>120233</v>
      </c>
      <c r="C152" t="s">
        <v>4</v>
      </c>
      <c r="D152">
        <v>2039</v>
      </c>
      <c r="E152" s="11">
        <v>43952</v>
      </c>
      <c r="F152" s="38">
        <v>10195</v>
      </c>
      <c r="G152" s="38">
        <v>4485.8</v>
      </c>
      <c r="H152">
        <v>56</v>
      </c>
    </row>
    <row r="153" spans="1:8" x14ac:dyDescent="0.25">
      <c r="A153">
        <v>4</v>
      </c>
      <c r="B153">
        <v>872825</v>
      </c>
      <c r="C153" t="s">
        <v>3</v>
      </c>
      <c r="D153">
        <v>2031</v>
      </c>
      <c r="E153" s="11">
        <v>44105</v>
      </c>
      <c r="F153" s="38">
        <v>10155</v>
      </c>
      <c r="G153" s="38">
        <v>4062</v>
      </c>
      <c r="H153">
        <v>60</v>
      </c>
    </row>
    <row r="154" spans="1:8" x14ac:dyDescent="0.25">
      <c r="A154">
        <v>5</v>
      </c>
      <c r="B154">
        <v>406431</v>
      </c>
      <c r="C154" t="s">
        <v>2</v>
      </c>
      <c r="D154">
        <v>2529</v>
      </c>
      <c r="E154" s="11">
        <v>44013</v>
      </c>
      <c r="F154" s="38">
        <v>10116</v>
      </c>
      <c r="G154" s="38">
        <v>3793.5</v>
      </c>
      <c r="H154">
        <v>62.5</v>
      </c>
    </row>
    <row r="155" spans="1:8" x14ac:dyDescent="0.25">
      <c r="A155">
        <v>3</v>
      </c>
      <c r="B155">
        <v>728960</v>
      </c>
      <c r="C155" t="s">
        <v>2</v>
      </c>
      <c r="D155">
        <v>2522</v>
      </c>
      <c r="E155" s="11">
        <v>43831</v>
      </c>
      <c r="F155" s="38">
        <v>10086</v>
      </c>
      <c r="G155" s="38">
        <v>3782.25</v>
      </c>
      <c r="H155">
        <v>62.5</v>
      </c>
    </row>
    <row r="156" spans="1:8" x14ac:dyDescent="0.25">
      <c r="A156">
        <v>1</v>
      </c>
      <c r="B156">
        <v>208984</v>
      </c>
      <c r="C156" t="s">
        <v>4</v>
      </c>
      <c r="D156">
        <v>2015</v>
      </c>
      <c r="E156" s="11">
        <v>43800</v>
      </c>
      <c r="F156" s="38">
        <v>10075</v>
      </c>
      <c r="G156" s="38">
        <v>4433</v>
      </c>
      <c r="H156">
        <v>56</v>
      </c>
    </row>
    <row r="157" spans="1:8" x14ac:dyDescent="0.25">
      <c r="A157">
        <v>1</v>
      </c>
      <c r="B157">
        <v>780708</v>
      </c>
      <c r="C157" t="s">
        <v>3</v>
      </c>
      <c r="D157">
        <v>2013</v>
      </c>
      <c r="E157" s="11">
        <v>43800</v>
      </c>
      <c r="F157" s="38">
        <v>10065</v>
      </c>
      <c r="G157" s="38">
        <v>4026</v>
      </c>
      <c r="H157">
        <v>60</v>
      </c>
    </row>
    <row r="158" spans="1:8" x14ac:dyDescent="0.25">
      <c r="A158">
        <v>2</v>
      </c>
      <c r="B158">
        <v>164895</v>
      </c>
      <c r="C158" t="s">
        <v>3</v>
      </c>
      <c r="D158">
        <v>2009</v>
      </c>
      <c r="E158" s="11">
        <v>44105</v>
      </c>
      <c r="F158" s="38">
        <v>10045</v>
      </c>
      <c r="G158" s="38">
        <v>4018</v>
      </c>
      <c r="H158">
        <v>60</v>
      </c>
    </row>
    <row r="159" spans="1:8" x14ac:dyDescent="0.25">
      <c r="A159">
        <v>5</v>
      </c>
      <c r="B159">
        <v>117162</v>
      </c>
      <c r="C159" t="s">
        <v>3</v>
      </c>
      <c r="D159">
        <v>2007</v>
      </c>
      <c r="E159" s="11">
        <v>43770</v>
      </c>
      <c r="F159" s="38">
        <v>10035</v>
      </c>
      <c r="G159" s="38">
        <v>4014</v>
      </c>
      <c r="H159">
        <v>60</v>
      </c>
    </row>
    <row r="160" spans="1:8" x14ac:dyDescent="0.25">
      <c r="A160">
        <v>1</v>
      </c>
      <c r="B160">
        <v>614031</v>
      </c>
      <c r="C160" t="s">
        <v>5</v>
      </c>
      <c r="D160">
        <v>1659</v>
      </c>
      <c r="E160" s="11">
        <v>44013</v>
      </c>
      <c r="F160" s="38">
        <v>9954</v>
      </c>
      <c r="G160" s="38">
        <v>4562.25</v>
      </c>
      <c r="H160">
        <v>54.17</v>
      </c>
    </row>
    <row r="161" spans="1:8" x14ac:dyDescent="0.25">
      <c r="A161">
        <v>2</v>
      </c>
      <c r="B161">
        <v>348955</v>
      </c>
      <c r="C161" t="s">
        <v>2</v>
      </c>
      <c r="D161">
        <v>2487</v>
      </c>
      <c r="E161" s="11">
        <v>44166</v>
      </c>
      <c r="F161" s="38">
        <v>9948</v>
      </c>
      <c r="G161" s="38">
        <v>3730.5</v>
      </c>
      <c r="H161">
        <v>62.5</v>
      </c>
    </row>
    <row r="162" spans="1:8" x14ac:dyDescent="0.25">
      <c r="A162">
        <v>4</v>
      </c>
      <c r="B162">
        <v>304546</v>
      </c>
      <c r="C162" t="s">
        <v>4</v>
      </c>
      <c r="D162">
        <v>1989</v>
      </c>
      <c r="E162" s="11">
        <v>43709</v>
      </c>
      <c r="F162" s="38">
        <v>9945</v>
      </c>
      <c r="G162" s="38">
        <v>4375.8</v>
      </c>
      <c r="H162">
        <v>56</v>
      </c>
    </row>
    <row r="163" spans="1:8" x14ac:dyDescent="0.25">
      <c r="A163">
        <v>4</v>
      </c>
      <c r="B163">
        <v>131249</v>
      </c>
      <c r="C163" t="s">
        <v>4</v>
      </c>
      <c r="D163">
        <v>1988</v>
      </c>
      <c r="E163" s="11">
        <v>43831</v>
      </c>
      <c r="F163" s="38">
        <v>9937.5</v>
      </c>
      <c r="G163" s="38">
        <v>4372.5</v>
      </c>
      <c r="H163">
        <v>56</v>
      </c>
    </row>
    <row r="164" spans="1:8" x14ac:dyDescent="0.25">
      <c r="A164">
        <v>3</v>
      </c>
      <c r="B164">
        <v>159484</v>
      </c>
      <c r="C164" t="s">
        <v>3</v>
      </c>
      <c r="D164">
        <v>1984</v>
      </c>
      <c r="E164" s="11">
        <v>44044</v>
      </c>
      <c r="F164" s="38">
        <v>9920</v>
      </c>
      <c r="G164" s="38">
        <v>3968</v>
      </c>
      <c r="H164">
        <v>60</v>
      </c>
    </row>
    <row r="165" spans="1:8" x14ac:dyDescent="0.25">
      <c r="A165">
        <v>1</v>
      </c>
      <c r="B165">
        <v>293680</v>
      </c>
      <c r="C165" t="s">
        <v>2</v>
      </c>
      <c r="D165">
        <v>2470</v>
      </c>
      <c r="E165" s="11">
        <v>43983</v>
      </c>
      <c r="F165" s="38">
        <v>9880</v>
      </c>
      <c r="G165" s="38">
        <v>3705</v>
      </c>
      <c r="H165">
        <v>62.5</v>
      </c>
    </row>
    <row r="166" spans="1:8" x14ac:dyDescent="0.25">
      <c r="A166">
        <v>5</v>
      </c>
      <c r="B166">
        <v>761356</v>
      </c>
      <c r="C166" t="s">
        <v>3</v>
      </c>
      <c r="D166">
        <v>1954</v>
      </c>
      <c r="E166" s="11">
        <v>43891</v>
      </c>
      <c r="F166" s="38">
        <v>9770</v>
      </c>
      <c r="G166" s="38">
        <v>3908</v>
      </c>
      <c r="H166">
        <v>60</v>
      </c>
    </row>
    <row r="167" spans="1:8" x14ac:dyDescent="0.25">
      <c r="A167">
        <v>3</v>
      </c>
      <c r="B167">
        <v>731074</v>
      </c>
      <c r="C167" t="s">
        <v>4</v>
      </c>
      <c r="D167">
        <v>1953</v>
      </c>
      <c r="E167" s="11">
        <v>43922</v>
      </c>
      <c r="F167" s="38">
        <v>9765</v>
      </c>
      <c r="G167" s="38">
        <v>4296.6000000000004</v>
      </c>
      <c r="H167">
        <v>56</v>
      </c>
    </row>
    <row r="168" spans="1:8" x14ac:dyDescent="0.25">
      <c r="A168">
        <v>5</v>
      </c>
      <c r="B168">
        <v>363487</v>
      </c>
      <c r="C168" t="s">
        <v>2</v>
      </c>
      <c r="D168">
        <v>2441</v>
      </c>
      <c r="E168" s="11">
        <v>44105</v>
      </c>
      <c r="F168" s="38">
        <v>9764</v>
      </c>
      <c r="G168" s="38">
        <v>3661.5</v>
      </c>
      <c r="H168">
        <v>62.5</v>
      </c>
    </row>
    <row r="169" spans="1:8" x14ac:dyDescent="0.25">
      <c r="A169">
        <v>5</v>
      </c>
      <c r="B169">
        <v>617395</v>
      </c>
      <c r="C169" t="s">
        <v>1</v>
      </c>
      <c r="D169">
        <v>3245</v>
      </c>
      <c r="E169" s="11">
        <v>43831</v>
      </c>
      <c r="F169" s="38">
        <v>9733.5</v>
      </c>
      <c r="G169" s="38">
        <v>4055.63</v>
      </c>
      <c r="H169">
        <v>58.33</v>
      </c>
    </row>
    <row r="170" spans="1:8" x14ac:dyDescent="0.25">
      <c r="A170">
        <v>3</v>
      </c>
      <c r="B170">
        <v>887888</v>
      </c>
      <c r="C170" t="s">
        <v>3</v>
      </c>
      <c r="D170">
        <v>1946</v>
      </c>
      <c r="E170" s="11">
        <v>43800</v>
      </c>
      <c r="F170" s="38">
        <v>9730</v>
      </c>
      <c r="G170" s="38">
        <v>3892</v>
      </c>
      <c r="H170">
        <v>60</v>
      </c>
    </row>
    <row r="171" spans="1:8" x14ac:dyDescent="0.25">
      <c r="A171">
        <v>1</v>
      </c>
      <c r="B171">
        <v>675075</v>
      </c>
      <c r="C171" t="s">
        <v>3</v>
      </c>
      <c r="D171">
        <v>1945</v>
      </c>
      <c r="E171" s="11">
        <v>43739</v>
      </c>
      <c r="F171" s="38">
        <v>9725</v>
      </c>
      <c r="G171" s="38">
        <v>3890</v>
      </c>
      <c r="H171">
        <v>60</v>
      </c>
    </row>
    <row r="172" spans="1:8" x14ac:dyDescent="0.25">
      <c r="A172">
        <v>3</v>
      </c>
      <c r="B172">
        <v>100553</v>
      </c>
      <c r="C172" t="s">
        <v>3</v>
      </c>
      <c r="D172">
        <v>1934</v>
      </c>
      <c r="E172" s="11">
        <v>44075</v>
      </c>
      <c r="F172" s="38">
        <v>9670</v>
      </c>
      <c r="G172" s="38">
        <v>3868</v>
      </c>
      <c r="H172">
        <v>60</v>
      </c>
    </row>
    <row r="173" spans="1:8" x14ac:dyDescent="0.25">
      <c r="A173">
        <v>3</v>
      </c>
      <c r="B173">
        <v>105566</v>
      </c>
      <c r="C173" t="s">
        <v>2</v>
      </c>
      <c r="D173">
        <v>2416</v>
      </c>
      <c r="E173" s="11">
        <v>43709</v>
      </c>
      <c r="F173" s="38">
        <v>9664</v>
      </c>
      <c r="G173" s="38">
        <v>3624</v>
      </c>
      <c r="H173">
        <v>62.5</v>
      </c>
    </row>
    <row r="174" spans="1:8" x14ac:dyDescent="0.25">
      <c r="A174">
        <v>5</v>
      </c>
      <c r="B174">
        <v>793514</v>
      </c>
      <c r="C174" t="s">
        <v>3</v>
      </c>
      <c r="D174">
        <v>1925</v>
      </c>
      <c r="E174" s="11">
        <v>43800</v>
      </c>
      <c r="F174" s="38">
        <v>9625</v>
      </c>
      <c r="G174" s="38">
        <v>3850</v>
      </c>
      <c r="H174">
        <v>60</v>
      </c>
    </row>
    <row r="175" spans="1:8" x14ac:dyDescent="0.25">
      <c r="A175">
        <v>5</v>
      </c>
      <c r="B175">
        <v>364025</v>
      </c>
      <c r="C175" t="s">
        <v>3</v>
      </c>
      <c r="D175">
        <v>1922</v>
      </c>
      <c r="E175" s="11">
        <v>43770</v>
      </c>
      <c r="F175" s="38">
        <v>9610</v>
      </c>
      <c r="G175" s="38">
        <v>3844</v>
      </c>
      <c r="H175">
        <v>60</v>
      </c>
    </row>
    <row r="176" spans="1:8" x14ac:dyDescent="0.25">
      <c r="A176">
        <v>3</v>
      </c>
      <c r="B176">
        <v>580583</v>
      </c>
      <c r="C176" t="s">
        <v>4</v>
      </c>
      <c r="D176">
        <v>1916</v>
      </c>
      <c r="E176" s="11">
        <v>44166</v>
      </c>
      <c r="F176" s="38">
        <v>9580</v>
      </c>
      <c r="G176" s="38">
        <v>4215.2</v>
      </c>
      <c r="H176">
        <v>56</v>
      </c>
    </row>
    <row r="177" spans="1:8" x14ac:dyDescent="0.25">
      <c r="A177">
        <v>5</v>
      </c>
      <c r="B177">
        <v>778039</v>
      </c>
      <c r="C177" t="s">
        <v>3</v>
      </c>
      <c r="D177">
        <v>1916</v>
      </c>
      <c r="E177" s="11">
        <v>44166</v>
      </c>
      <c r="F177" s="38">
        <v>9580</v>
      </c>
      <c r="G177" s="38">
        <v>3832</v>
      </c>
      <c r="H177">
        <v>60</v>
      </c>
    </row>
    <row r="178" spans="1:8" x14ac:dyDescent="0.25">
      <c r="A178">
        <v>3</v>
      </c>
      <c r="B178">
        <v>748204</v>
      </c>
      <c r="C178" t="s">
        <v>5</v>
      </c>
      <c r="D178">
        <v>1596</v>
      </c>
      <c r="E178" s="11">
        <v>44075</v>
      </c>
      <c r="F178" s="38">
        <v>9576</v>
      </c>
      <c r="G178" s="38">
        <v>4389</v>
      </c>
      <c r="H178">
        <v>54.17</v>
      </c>
    </row>
    <row r="179" spans="1:8" x14ac:dyDescent="0.25">
      <c r="A179">
        <v>3</v>
      </c>
      <c r="B179">
        <v>788478</v>
      </c>
      <c r="C179" t="s">
        <v>4</v>
      </c>
      <c r="D179">
        <v>1907</v>
      </c>
      <c r="E179" s="11">
        <v>44075</v>
      </c>
      <c r="F179" s="38">
        <v>9535</v>
      </c>
      <c r="G179" s="38">
        <v>4195.3999999999996</v>
      </c>
      <c r="H179">
        <v>56</v>
      </c>
    </row>
    <row r="180" spans="1:8" x14ac:dyDescent="0.25">
      <c r="A180">
        <v>1</v>
      </c>
      <c r="B180">
        <v>296424</v>
      </c>
      <c r="C180" t="s">
        <v>3</v>
      </c>
      <c r="D180">
        <v>1901</v>
      </c>
      <c r="E180" s="11">
        <v>43983</v>
      </c>
      <c r="F180" s="38">
        <v>9505</v>
      </c>
      <c r="G180" s="38">
        <v>3802</v>
      </c>
      <c r="H180">
        <v>60</v>
      </c>
    </row>
    <row r="181" spans="1:8" x14ac:dyDescent="0.25">
      <c r="A181">
        <v>3</v>
      </c>
      <c r="B181">
        <v>609228</v>
      </c>
      <c r="C181" t="s">
        <v>4</v>
      </c>
      <c r="D181">
        <v>1899</v>
      </c>
      <c r="E181" s="11">
        <v>43983</v>
      </c>
      <c r="F181" s="38">
        <v>9495</v>
      </c>
      <c r="G181" s="38">
        <v>4177.8</v>
      </c>
      <c r="H181">
        <v>56</v>
      </c>
    </row>
    <row r="182" spans="1:8" x14ac:dyDescent="0.25">
      <c r="A182">
        <v>2</v>
      </c>
      <c r="B182">
        <v>818350</v>
      </c>
      <c r="C182" t="s">
        <v>5</v>
      </c>
      <c r="D182">
        <v>1582</v>
      </c>
      <c r="E182" s="11">
        <v>44166</v>
      </c>
      <c r="F182" s="38">
        <v>9492</v>
      </c>
      <c r="G182" s="38">
        <v>4350.5</v>
      </c>
      <c r="H182">
        <v>54.17</v>
      </c>
    </row>
    <row r="183" spans="1:8" x14ac:dyDescent="0.25">
      <c r="A183">
        <v>3</v>
      </c>
      <c r="B183">
        <v>355971</v>
      </c>
      <c r="C183" t="s">
        <v>5</v>
      </c>
      <c r="D183">
        <v>1579</v>
      </c>
      <c r="E183" s="11">
        <v>44044</v>
      </c>
      <c r="F183" s="38">
        <v>9474</v>
      </c>
      <c r="G183" s="38">
        <v>4342.25</v>
      </c>
      <c r="H183">
        <v>54.17</v>
      </c>
    </row>
    <row r="184" spans="1:8" x14ac:dyDescent="0.25">
      <c r="A184">
        <v>1</v>
      </c>
      <c r="B184">
        <v>674043</v>
      </c>
      <c r="C184" t="s">
        <v>5</v>
      </c>
      <c r="D184">
        <v>1575</v>
      </c>
      <c r="E184" s="11">
        <v>43862</v>
      </c>
      <c r="F184" s="38">
        <v>9450</v>
      </c>
      <c r="G184" s="38">
        <v>4331.25</v>
      </c>
      <c r="H184">
        <v>54.17</v>
      </c>
    </row>
    <row r="185" spans="1:8" x14ac:dyDescent="0.25">
      <c r="A185">
        <v>2</v>
      </c>
      <c r="B185">
        <v>149035</v>
      </c>
      <c r="C185" t="s">
        <v>5</v>
      </c>
      <c r="D185">
        <v>1566</v>
      </c>
      <c r="E185" s="11">
        <v>44105</v>
      </c>
      <c r="F185" s="38">
        <v>9396</v>
      </c>
      <c r="G185" s="38">
        <v>4306.5</v>
      </c>
      <c r="H185">
        <v>54.17</v>
      </c>
    </row>
    <row r="186" spans="1:8" x14ac:dyDescent="0.25">
      <c r="A186">
        <v>2</v>
      </c>
      <c r="B186">
        <v>227896</v>
      </c>
      <c r="C186" t="s">
        <v>4</v>
      </c>
      <c r="D186">
        <v>1870</v>
      </c>
      <c r="E186" s="11">
        <v>43770</v>
      </c>
      <c r="F186" s="38">
        <v>9350</v>
      </c>
      <c r="G186" s="38">
        <v>4114</v>
      </c>
      <c r="H186">
        <v>56</v>
      </c>
    </row>
    <row r="187" spans="1:8" x14ac:dyDescent="0.25">
      <c r="A187">
        <v>4</v>
      </c>
      <c r="B187">
        <v>283163</v>
      </c>
      <c r="C187" t="s">
        <v>4</v>
      </c>
      <c r="D187">
        <v>1865</v>
      </c>
      <c r="E187" s="11">
        <v>43862</v>
      </c>
      <c r="F187" s="38">
        <v>9325</v>
      </c>
      <c r="G187" s="38">
        <v>4103</v>
      </c>
      <c r="H187">
        <v>56</v>
      </c>
    </row>
    <row r="188" spans="1:8" x14ac:dyDescent="0.25">
      <c r="A188">
        <v>1</v>
      </c>
      <c r="B188">
        <v>643742</v>
      </c>
      <c r="C188" t="s">
        <v>5</v>
      </c>
      <c r="D188">
        <v>1545</v>
      </c>
      <c r="E188" s="11">
        <v>43983</v>
      </c>
      <c r="F188" s="38">
        <v>9270</v>
      </c>
      <c r="G188" s="38">
        <v>4248.75</v>
      </c>
      <c r="H188">
        <v>54.17</v>
      </c>
    </row>
    <row r="189" spans="1:8" x14ac:dyDescent="0.25">
      <c r="A189">
        <v>4</v>
      </c>
      <c r="B189">
        <v>632637</v>
      </c>
      <c r="C189" t="s">
        <v>2</v>
      </c>
      <c r="D189">
        <v>2300</v>
      </c>
      <c r="E189" s="11">
        <v>44166</v>
      </c>
      <c r="F189" s="38">
        <v>9200</v>
      </c>
      <c r="G189" s="38">
        <v>3450</v>
      </c>
      <c r="H189">
        <v>62.5</v>
      </c>
    </row>
    <row r="190" spans="1:8" x14ac:dyDescent="0.25">
      <c r="A190">
        <v>4</v>
      </c>
      <c r="B190">
        <v>288662</v>
      </c>
      <c r="C190" t="s">
        <v>2</v>
      </c>
      <c r="D190">
        <v>2299</v>
      </c>
      <c r="E190" s="11">
        <v>43739</v>
      </c>
      <c r="F190" s="38">
        <v>9196</v>
      </c>
      <c r="G190" s="38">
        <v>3448.5</v>
      </c>
      <c r="H190">
        <v>62.5</v>
      </c>
    </row>
    <row r="191" spans="1:8" x14ac:dyDescent="0.25">
      <c r="A191">
        <v>5</v>
      </c>
      <c r="B191">
        <v>374150</v>
      </c>
      <c r="C191" t="s">
        <v>5</v>
      </c>
      <c r="D191">
        <v>1530</v>
      </c>
      <c r="E191" s="11">
        <v>43952</v>
      </c>
      <c r="F191" s="38">
        <v>9180</v>
      </c>
      <c r="G191" s="38">
        <v>4207.5</v>
      </c>
      <c r="H191">
        <v>54.17</v>
      </c>
    </row>
    <row r="192" spans="1:8" x14ac:dyDescent="0.25">
      <c r="A192">
        <v>4</v>
      </c>
      <c r="B192">
        <v>534742</v>
      </c>
      <c r="C192" t="s">
        <v>3</v>
      </c>
      <c r="D192">
        <v>1823</v>
      </c>
      <c r="E192" s="11">
        <v>44013</v>
      </c>
      <c r="F192" s="38">
        <v>9115</v>
      </c>
      <c r="G192" s="38">
        <v>3646</v>
      </c>
      <c r="H192">
        <v>60</v>
      </c>
    </row>
    <row r="193" spans="1:8" x14ac:dyDescent="0.25">
      <c r="A193">
        <v>4</v>
      </c>
      <c r="B193">
        <v>481875</v>
      </c>
      <c r="C193" t="s">
        <v>3</v>
      </c>
      <c r="D193">
        <v>1817</v>
      </c>
      <c r="E193" s="11">
        <v>44166</v>
      </c>
      <c r="F193" s="38">
        <v>9085</v>
      </c>
      <c r="G193" s="38">
        <v>3634</v>
      </c>
      <c r="H193">
        <v>60</v>
      </c>
    </row>
    <row r="194" spans="1:8" x14ac:dyDescent="0.25">
      <c r="A194">
        <v>4</v>
      </c>
      <c r="B194">
        <v>348194</v>
      </c>
      <c r="C194" t="s">
        <v>3</v>
      </c>
      <c r="D194">
        <v>1802</v>
      </c>
      <c r="E194" s="11">
        <v>43800</v>
      </c>
      <c r="F194" s="38">
        <v>9010</v>
      </c>
      <c r="G194" s="38">
        <v>3604</v>
      </c>
      <c r="H194">
        <v>60</v>
      </c>
    </row>
    <row r="195" spans="1:8" x14ac:dyDescent="0.25">
      <c r="A195">
        <v>3</v>
      </c>
      <c r="B195">
        <v>625104</v>
      </c>
      <c r="C195" t="s">
        <v>5</v>
      </c>
      <c r="D195">
        <v>1498</v>
      </c>
      <c r="E195" s="11">
        <v>43983</v>
      </c>
      <c r="F195" s="38">
        <v>8988</v>
      </c>
      <c r="G195" s="38">
        <v>4119.5</v>
      </c>
      <c r="H195">
        <v>54.17</v>
      </c>
    </row>
    <row r="196" spans="1:8" x14ac:dyDescent="0.25">
      <c r="A196">
        <v>2</v>
      </c>
      <c r="B196">
        <v>250308</v>
      </c>
      <c r="C196" t="s">
        <v>5</v>
      </c>
      <c r="D196">
        <v>1496</v>
      </c>
      <c r="E196" s="11">
        <v>43983</v>
      </c>
      <c r="F196" s="38">
        <v>8976</v>
      </c>
      <c r="G196" s="38">
        <v>4114</v>
      </c>
      <c r="H196">
        <v>54.17</v>
      </c>
    </row>
    <row r="197" spans="1:8" x14ac:dyDescent="0.25">
      <c r="A197">
        <v>2</v>
      </c>
      <c r="B197">
        <v>616386</v>
      </c>
      <c r="C197" t="s">
        <v>5</v>
      </c>
      <c r="D197">
        <v>1493</v>
      </c>
      <c r="E197" s="11">
        <v>43831</v>
      </c>
      <c r="F197" s="38">
        <v>8958</v>
      </c>
      <c r="G197" s="38">
        <v>4105.75</v>
      </c>
      <c r="H197">
        <v>54.17</v>
      </c>
    </row>
    <row r="198" spans="1:8" x14ac:dyDescent="0.25">
      <c r="A198">
        <v>1</v>
      </c>
      <c r="B198">
        <v>303687</v>
      </c>
      <c r="C198" t="s">
        <v>3</v>
      </c>
      <c r="D198">
        <v>1785</v>
      </c>
      <c r="E198" s="11">
        <v>43770</v>
      </c>
      <c r="F198" s="38">
        <v>8925</v>
      </c>
      <c r="G198" s="38">
        <v>3570</v>
      </c>
      <c r="H198">
        <v>60</v>
      </c>
    </row>
    <row r="199" spans="1:8" x14ac:dyDescent="0.25">
      <c r="A199">
        <v>2</v>
      </c>
      <c r="B199">
        <v>733366</v>
      </c>
      <c r="C199" t="s">
        <v>4</v>
      </c>
      <c r="D199">
        <v>1778</v>
      </c>
      <c r="E199" s="11">
        <v>43800</v>
      </c>
      <c r="F199" s="38">
        <v>8890</v>
      </c>
      <c r="G199" s="38">
        <v>3911.6</v>
      </c>
      <c r="H199">
        <v>56</v>
      </c>
    </row>
    <row r="200" spans="1:8" x14ac:dyDescent="0.25">
      <c r="A200">
        <v>3</v>
      </c>
      <c r="B200">
        <v>839631</v>
      </c>
      <c r="C200" t="s">
        <v>3</v>
      </c>
      <c r="D200">
        <v>1775</v>
      </c>
      <c r="E200" s="11">
        <v>43770</v>
      </c>
      <c r="F200" s="38">
        <v>8875</v>
      </c>
      <c r="G200" s="38">
        <v>3550</v>
      </c>
      <c r="H200">
        <v>60</v>
      </c>
    </row>
    <row r="201" spans="1:8" x14ac:dyDescent="0.25">
      <c r="A201">
        <v>1</v>
      </c>
      <c r="B201">
        <v>779279</v>
      </c>
      <c r="C201" t="s">
        <v>3</v>
      </c>
      <c r="D201">
        <v>1774</v>
      </c>
      <c r="E201" s="11">
        <v>43891</v>
      </c>
      <c r="F201" s="38">
        <v>8870</v>
      </c>
      <c r="G201" s="38">
        <v>3548</v>
      </c>
      <c r="H201">
        <v>60</v>
      </c>
    </row>
    <row r="202" spans="1:8" x14ac:dyDescent="0.25">
      <c r="A202">
        <v>4</v>
      </c>
      <c r="B202">
        <v>780393</v>
      </c>
      <c r="C202" t="s">
        <v>1</v>
      </c>
      <c r="D202">
        <v>2954</v>
      </c>
      <c r="E202" s="11">
        <v>43770</v>
      </c>
      <c r="F202" s="38">
        <v>8862</v>
      </c>
      <c r="G202" s="38">
        <v>3692.5</v>
      </c>
      <c r="H202">
        <v>58.33</v>
      </c>
    </row>
    <row r="203" spans="1:8" x14ac:dyDescent="0.25">
      <c r="A203">
        <v>3</v>
      </c>
      <c r="B203">
        <v>786473</v>
      </c>
      <c r="C203" t="s">
        <v>4</v>
      </c>
      <c r="D203">
        <v>1770</v>
      </c>
      <c r="E203" s="11">
        <v>43800</v>
      </c>
      <c r="F203" s="38">
        <v>8850</v>
      </c>
      <c r="G203" s="38">
        <v>3894</v>
      </c>
      <c r="H203">
        <v>56</v>
      </c>
    </row>
    <row r="204" spans="1:8" x14ac:dyDescent="0.25">
      <c r="A204">
        <v>4</v>
      </c>
      <c r="B204">
        <v>544855</v>
      </c>
      <c r="C204" t="s">
        <v>3</v>
      </c>
      <c r="D204">
        <v>1767</v>
      </c>
      <c r="E204" s="11">
        <v>44075</v>
      </c>
      <c r="F204" s="38">
        <v>8835</v>
      </c>
      <c r="G204" s="38">
        <v>3534</v>
      </c>
      <c r="H204">
        <v>60</v>
      </c>
    </row>
    <row r="205" spans="1:8" x14ac:dyDescent="0.25">
      <c r="A205">
        <v>2</v>
      </c>
      <c r="B205">
        <v>856913</v>
      </c>
      <c r="C205" t="s">
        <v>1</v>
      </c>
      <c r="D205">
        <v>2935</v>
      </c>
      <c r="E205" s="11">
        <v>43770</v>
      </c>
      <c r="F205" s="38">
        <v>8805</v>
      </c>
      <c r="G205" s="38">
        <v>3668.75</v>
      </c>
      <c r="H205">
        <v>58.33</v>
      </c>
    </row>
    <row r="206" spans="1:8" x14ac:dyDescent="0.25">
      <c r="A206">
        <v>1</v>
      </c>
      <c r="B206">
        <v>141665</v>
      </c>
      <c r="C206" t="s">
        <v>3</v>
      </c>
      <c r="D206">
        <v>1760</v>
      </c>
      <c r="E206" s="11">
        <v>43709</v>
      </c>
      <c r="F206" s="38">
        <v>8800</v>
      </c>
      <c r="G206" s="38">
        <v>3520</v>
      </c>
      <c r="H206">
        <v>60</v>
      </c>
    </row>
    <row r="207" spans="1:8" x14ac:dyDescent="0.25">
      <c r="A207">
        <v>3</v>
      </c>
      <c r="B207">
        <v>464499</v>
      </c>
      <c r="C207" t="s">
        <v>5</v>
      </c>
      <c r="D207">
        <v>1465</v>
      </c>
      <c r="E207" s="11">
        <v>43891</v>
      </c>
      <c r="F207" s="38">
        <v>8790</v>
      </c>
      <c r="G207" s="38">
        <v>4028.75</v>
      </c>
      <c r="H207">
        <v>54.17</v>
      </c>
    </row>
    <row r="208" spans="1:8" x14ac:dyDescent="0.25">
      <c r="A208">
        <v>4</v>
      </c>
      <c r="B208">
        <v>676135</v>
      </c>
      <c r="C208" t="s">
        <v>3</v>
      </c>
      <c r="D208">
        <v>1757</v>
      </c>
      <c r="E208" s="11">
        <v>43739</v>
      </c>
      <c r="F208" s="38">
        <v>8785</v>
      </c>
      <c r="G208" s="38">
        <v>3514</v>
      </c>
      <c r="H208">
        <v>60</v>
      </c>
    </row>
    <row r="209" spans="1:8" x14ac:dyDescent="0.25">
      <c r="A209">
        <v>2</v>
      </c>
      <c r="B209">
        <v>310429</v>
      </c>
      <c r="C209" t="s">
        <v>2</v>
      </c>
      <c r="D209">
        <v>2181</v>
      </c>
      <c r="E209" s="11">
        <v>44105</v>
      </c>
      <c r="F209" s="38">
        <v>8724</v>
      </c>
      <c r="G209" s="38">
        <v>3271.5</v>
      </c>
      <c r="H209">
        <v>62.5</v>
      </c>
    </row>
    <row r="210" spans="1:8" x14ac:dyDescent="0.25">
      <c r="A210">
        <v>2</v>
      </c>
      <c r="B210">
        <v>520865</v>
      </c>
      <c r="C210" t="s">
        <v>3</v>
      </c>
      <c r="D210">
        <v>1743</v>
      </c>
      <c r="E210" s="11">
        <v>43739</v>
      </c>
      <c r="F210" s="38">
        <v>8715</v>
      </c>
      <c r="G210" s="38">
        <v>3486</v>
      </c>
      <c r="H210">
        <v>60</v>
      </c>
    </row>
    <row r="211" spans="1:8" x14ac:dyDescent="0.25">
      <c r="A211">
        <v>4</v>
      </c>
      <c r="B211">
        <v>796346</v>
      </c>
      <c r="C211" t="s">
        <v>3</v>
      </c>
      <c r="D211">
        <v>1743</v>
      </c>
      <c r="E211" s="11">
        <v>44044</v>
      </c>
      <c r="F211" s="38">
        <v>8715</v>
      </c>
      <c r="G211" s="38">
        <v>3486</v>
      </c>
      <c r="H211">
        <v>60</v>
      </c>
    </row>
    <row r="212" spans="1:8" x14ac:dyDescent="0.25">
      <c r="A212">
        <v>5</v>
      </c>
      <c r="B212">
        <v>594129</v>
      </c>
      <c r="C212" t="s">
        <v>4</v>
      </c>
      <c r="D212">
        <v>1743</v>
      </c>
      <c r="E212" s="11">
        <v>43739</v>
      </c>
      <c r="F212" s="38">
        <v>8715</v>
      </c>
      <c r="G212" s="38">
        <v>3834.6</v>
      </c>
      <c r="H212">
        <v>56</v>
      </c>
    </row>
    <row r="213" spans="1:8" x14ac:dyDescent="0.25">
      <c r="A213">
        <v>5</v>
      </c>
      <c r="B213">
        <v>649737</v>
      </c>
      <c r="C213" t="s">
        <v>2</v>
      </c>
      <c r="D213">
        <v>2178</v>
      </c>
      <c r="E213" s="11">
        <v>43983</v>
      </c>
      <c r="F213" s="38">
        <v>8712</v>
      </c>
      <c r="G213" s="38">
        <v>3267</v>
      </c>
      <c r="H213">
        <v>62.5</v>
      </c>
    </row>
    <row r="214" spans="1:8" x14ac:dyDescent="0.25">
      <c r="A214">
        <v>2</v>
      </c>
      <c r="B214">
        <v>800536</v>
      </c>
      <c r="C214" t="s">
        <v>1</v>
      </c>
      <c r="D214">
        <v>2903</v>
      </c>
      <c r="E214" s="11">
        <v>43891</v>
      </c>
      <c r="F214" s="38">
        <v>8709</v>
      </c>
      <c r="G214" s="38">
        <v>3628.75</v>
      </c>
      <c r="H214">
        <v>58.33</v>
      </c>
    </row>
    <row r="215" spans="1:8" x14ac:dyDescent="0.25">
      <c r="A215">
        <v>2</v>
      </c>
      <c r="B215">
        <v>429735</v>
      </c>
      <c r="C215" t="s">
        <v>3</v>
      </c>
      <c r="D215">
        <v>1731</v>
      </c>
      <c r="E215" s="11">
        <v>44105</v>
      </c>
      <c r="F215" s="38">
        <v>8655</v>
      </c>
      <c r="G215" s="38">
        <v>3462</v>
      </c>
      <c r="H215">
        <v>60</v>
      </c>
    </row>
    <row r="216" spans="1:8" x14ac:dyDescent="0.25">
      <c r="A216">
        <v>5</v>
      </c>
      <c r="B216">
        <v>707748</v>
      </c>
      <c r="C216" t="s">
        <v>4</v>
      </c>
      <c r="D216">
        <v>1731</v>
      </c>
      <c r="E216" s="11">
        <v>44105</v>
      </c>
      <c r="F216" s="38">
        <v>8655</v>
      </c>
      <c r="G216" s="38">
        <v>3808.2</v>
      </c>
      <c r="H216">
        <v>56</v>
      </c>
    </row>
    <row r="217" spans="1:8" x14ac:dyDescent="0.25">
      <c r="A217">
        <v>3</v>
      </c>
      <c r="B217">
        <v>365463</v>
      </c>
      <c r="C217" t="s">
        <v>3</v>
      </c>
      <c r="D217">
        <v>1728</v>
      </c>
      <c r="E217" s="11">
        <v>43952</v>
      </c>
      <c r="F217" s="38">
        <v>8640</v>
      </c>
      <c r="G217" s="38">
        <v>3456</v>
      </c>
      <c r="H217">
        <v>60</v>
      </c>
    </row>
    <row r="218" spans="1:8" x14ac:dyDescent="0.25">
      <c r="A218">
        <v>1</v>
      </c>
      <c r="B218">
        <v>225353</v>
      </c>
      <c r="C218" t="s">
        <v>4</v>
      </c>
      <c r="D218">
        <v>1727</v>
      </c>
      <c r="E218" s="11">
        <v>43739</v>
      </c>
      <c r="F218" s="38">
        <v>8635</v>
      </c>
      <c r="G218" s="38">
        <v>3799.4</v>
      </c>
      <c r="H218">
        <v>56</v>
      </c>
    </row>
    <row r="219" spans="1:8" x14ac:dyDescent="0.25">
      <c r="A219">
        <v>4</v>
      </c>
      <c r="B219">
        <v>439635</v>
      </c>
      <c r="C219" t="s">
        <v>1</v>
      </c>
      <c r="D219">
        <v>2877</v>
      </c>
      <c r="E219" s="11">
        <v>44105</v>
      </c>
      <c r="F219" s="38">
        <v>8631</v>
      </c>
      <c r="G219" s="38">
        <v>3596.25</v>
      </c>
      <c r="H219">
        <v>58.33</v>
      </c>
    </row>
    <row r="220" spans="1:8" x14ac:dyDescent="0.25">
      <c r="A220">
        <v>4</v>
      </c>
      <c r="B220">
        <v>289811</v>
      </c>
      <c r="C220" t="s">
        <v>3</v>
      </c>
      <c r="D220">
        <v>1725</v>
      </c>
      <c r="E220" s="11">
        <v>43770</v>
      </c>
      <c r="F220" s="38">
        <v>8625</v>
      </c>
      <c r="G220" s="38">
        <v>3450</v>
      </c>
      <c r="H220">
        <v>60</v>
      </c>
    </row>
    <row r="221" spans="1:8" x14ac:dyDescent="0.25">
      <c r="A221">
        <v>4</v>
      </c>
      <c r="B221">
        <v>694579</v>
      </c>
      <c r="C221" t="s">
        <v>2</v>
      </c>
      <c r="D221">
        <v>2156</v>
      </c>
      <c r="E221" s="11">
        <v>44105</v>
      </c>
      <c r="F221" s="38">
        <v>8624</v>
      </c>
      <c r="G221" s="38">
        <v>3234</v>
      </c>
      <c r="H221">
        <v>62.5</v>
      </c>
    </row>
    <row r="222" spans="1:8" x14ac:dyDescent="0.25">
      <c r="A222">
        <v>4</v>
      </c>
      <c r="B222">
        <v>338090</v>
      </c>
      <c r="C222" t="s">
        <v>2</v>
      </c>
      <c r="D222">
        <v>2155</v>
      </c>
      <c r="E222" s="11">
        <v>44166</v>
      </c>
      <c r="F222" s="38">
        <v>8620</v>
      </c>
      <c r="G222" s="38">
        <v>3232.5</v>
      </c>
      <c r="H222">
        <v>62.5</v>
      </c>
    </row>
    <row r="223" spans="1:8" x14ac:dyDescent="0.25">
      <c r="A223">
        <v>4</v>
      </c>
      <c r="B223">
        <v>403455</v>
      </c>
      <c r="C223" t="s">
        <v>2</v>
      </c>
      <c r="D223">
        <v>2145</v>
      </c>
      <c r="E223" s="11">
        <v>43770</v>
      </c>
      <c r="F223" s="38">
        <v>8580</v>
      </c>
      <c r="G223" s="38">
        <v>3217.5</v>
      </c>
      <c r="H223">
        <v>62.5</v>
      </c>
    </row>
    <row r="224" spans="1:8" x14ac:dyDescent="0.25">
      <c r="A224">
        <v>2</v>
      </c>
      <c r="B224">
        <v>885201</v>
      </c>
      <c r="C224" t="s">
        <v>3</v>
      </c>
      <c r="D224">
        <v>1715</v>
      </c>
      <c r="E224" s="11">
        <v>43739</v>
      </c>
      <c r="F224" s="38">
        <v>8575</v>
      </c>
      <c r="G224" s="38">
        <v>3430</v>
      </c>
      <c r="H224">
        <v>60</v>
      </c>
    </row>
    <row r="225" spans="1:8" x14ac:dyDescent="0.25">
      <c r="A225">
        <v>1</v>
      </c>
      <c r="B225">
        <v>632111</v>
      </c>
      <c r="C225" t="s">
        <v>1</v>
      </c>
      <c r="D225">
        <v>2844</v>
      </c>
      <c r="E225" s="11">
        <v>43862</v>
      </c>
      <c r="F225" s="38">
        <v>8532</v>
      </c>
      <c r="G225" s="38">
        <v>3555</v>
      </c>
      <c r="H225">
        <v>58.33</v>
      </c>
    </row>
    <row r="226" spans="1:8" x14ac:dyDescent="0.25">
      <c r="A226">
        <v>2</v>
      </c>
      <c r="B226">
        <v>701669</v>
      </c>
      <c r="C226" t="s">
        <v>1</v>
      </c>
      <c r="D226">
        <v>2844</v>
      </c>
      <c r="E226" s="11">
        <v>43983</v>
      </c>
      <c r="F226" s="38">
        <v>8532</v>
      </c>
      <c r="G226" s="38">
        <v>3555</v>
      </c>
      <c r="H226">
        <v>58.33</v>
      </c>
    </row>
    <row r="227" spans="1:8" x14ac:dyDescent="0.25">
      <c r="A227">
        <v>2</v>
      </c>
      <c r="B227">
        <v>566401</v>
      </c>
      <c r="C227" t="s">
        <v>3</v>
      </c>
      <c r="D227">
        <v>1706</v>
      </c>
      <c r="E227" s="11">
        <v>44166</v>
      </c>
      <c r="F227" s="38">
        <v>8530</v>
      </c>
      <c r="G227" s="38">
        <v>3412</v>
      </c>
      <c r="H227">
        <v>60</v>
      </c>
    </row>
    <row r="228" spans="1:8" x14ac:dyDescent="0.25">
      <c r="A228">
        <v>2</v>
      </c>
      <c r="B228">
        <v>562718</v>
      </c>
      <c r="C228" t="s">
        <v>5</v>
      </c>
      <c r="D228">
        <v>1421</v>
      </c>
      <c r="E228" s="11">
        <v>43800</v>
      </c>
      <c r="F228" s="38">
        <v>8526</v>
      </c>
      <c r="G228" s="38">
        <v>3907.75</v>
      </c>
      <c r="H228">
        <v>54.17</v>
      </c>
    </row>
    <row r="229" spans="1:8" x14ac:dyDescent="0.25">
      <c r="A229">
        <v>3</v>
      </c>
      <c r="B229">
        <v>355287</v>
      </c>
      <c r="C229" t="s">
        <v>1</v>
      </c>
      <c r="D229">
        <v>2838</v>
      </c>
      <c r="E229" s="11">
        <v>43922</v>
      </c>
      <c r="F229" s="38">
        <v>8514</v>
      </c>
      <c r="G229" s="38">
        <v>3547.5</v>
      </c>
      <c r="H229">
        <v>58.33</v>
      </c>
    </row>
    <row r="230" spans="1:8" x14ac:dyDescent="0.25">
      <c r="A230">
        <v>1</v>
      </c>
      <c r="B230">
        <v>283491</v>
      </c>
      <c r="C230" t="s">
        <v>3</v>
      </c>
      <c r="D230">
        <v>1702</v>
      </c>
      <c r="E230" s="11">
        <v>43952</v>
      </c>
      <c r="F230" s="38">
        <v>8510</v>
      </c>
      <c r="G230" s="38">
        <v>3404</v>
      </c>
      <c r="H230">
        <v>60</v>
      </c>
    </row>
    <row r="231" spans="1:8" x14ac:dyDescent="0.25">
      <c r="A231">
        <v>3</v>
      </c>
      <c r="B231">
        <v>686661</v>
      </c>
      <c r="C231" t="s">
        <v>4</v>
      </c>
      <c r="D231">
        <v>1694</v>
      </c>
      <c r="E231" s="11">
        <v>44136</v>
      </c>
      <c r="F231" s="38">
        <v>8470</v>
      </c>
      <c r="G231" s="38">
        <v>3726.8</v>
      </c>
      <c r="H231">
        <v>56</v>
      </c>
    </row>
    <row r="232" spans="1:8" x14ac:dyDescent="0.25">
      <c r="A232">
        <v>3</v>
      </c>
      <c r="B232">
        <v>754791</v>
      </c>
      <c r="C232" t="s">
        <v>4</v>
      </c>
      <c r="D232">
        <v>1686</v>
      </c>
      <c r="E232" s="11">
        <v>44013</v>
      </c>
      <c r="F232" s="38">
        <v>8430</v>
      </c>
      <c r="G232" s="38">
        <v>3709.2</v>
      </c>
      <c r="H232">
        <v>56</v>
      </c>
    </row>
    <row r="233" spans="1:8" x14ac:dyDescent="0.25">
      <c r="A233">
        <v>2</v>
      </c>
      <c r="B233">
        <v>363822</v>
      </c>
      <c r="C233" t="s">
        <v>1</v>
      </c>
      <c r="D233">
        <v>2807</v>
      </c>
      <c r="E233" s="11">
        <v>44044</v>
      </c>
      <c r="F233" s="38">
        <v>8421</v>
      </c>
      <c r="G233" s="38">
        <v>3508.75</v>
      </c>
      <c r="H233">
        <v>58.33</v>
      </c>
    </row>
    <row r="234" spans="1:8" x14ac:dyDescent="0.25">
      <c r="A234">
        <v>3</v>
      </c>
      <c r="B234">
        <v>602865</v>
      </c>
      <c r="C234" t="s">
        <v>4</v>
      </c>
      <c r="D234">
        <v>1683</v>
      </c>
      <c r="E234" s="11">
        <v>44013</v>
      </c>
      <c r="F234" s="38">
        <v>8415</v>
      </c>
      <c r="G234" s="38">
        <v>3702.6</v>
      </c>
      <c r="H234">
        <v>56</v>
      </c>
    </row>
    <row r="235" spans="1:8" x14ac:dyDescent="0.25">
      <c r="A235">
        <v>3</v>
      </c>
      <c r="B235">
        <v>551372</v>
      </c>
      <c r="C235" t="s">
        <v>4</v>
      </c>
      <c r="D235">
        <v>1679</v>
      </c>
      <c r="E235" s="11">
        <v>44075</v>
      </c>
      <c r="F235" s="38">
        <v>8395</v>
      </c>
      <c r="G235" s="38">
        <v>3693.8</v>
      </c>
      <c r="H235">
        <v>56</v>
      </c>
    </row>
    <row r="236" spans="1:8" x14ac:dyDescent="0.25">
      <c r="A236">
        <v>2</v>
      </c>
      <c r="B236">
        <v>638098</v>
      </c>
      <c r="C236" t="s">
        <v>5</v>
      </c>
      <c r="D236">
        <v>1395</v>
      </c>
      <c r="E236" s="11">
        <v>44013</v>
      </c>
      <c r="F236" s="38">
        <v>8370</v>
      </c>
      <c r="G236" s="38">
        <v>3836.25</v>
      </c>
      <c r="H236">
        <v>54.17</v>
      </c>
    </row>
    <row r="237" spans="1:8" x14ac:dyDescent="0.25">
      <c r="A237">
        <v>1</v>
      </c>
      <c r="B237">
        <v>665489</v>
      </c>
      <c r="C237" t="s">
        <v>4</v>
      </c>
      <c r="D237">
        <v>1659</v>
      </c>
      <c r="E237" s="11">
        <v>43831</v>
      </c>
      <c r="F237" s="38">
        <v>8295</v>
      </c>
      <c r="G237" s="38">
        <v>3649.8</v>
      </c>
      <c r="H237">
        <v>56</v>
      </c>
    </row>
    <row r="238" spans="1:8" x14ac:dyDescent="0.25">
      <c r="A238">
        <v>5</v>
      </c>
      <c r="B238">
        <v>210209</v>
      </c>
      <c r="C238" t="s">
        <v>1</v>
      </c>
      <c r="D238">
        <v>2747</v>
      </c>
      <c r="E238" s="11">
        <v>43862</v>
      </c>
      <c r="F238" s="38">
        <v>8241</v>
      </c>
      <c r="G238" s="38">
        <v>3433.75</v>
      </c>
      <c r="H238">
        <v>58.33</v>
      </c>
    </row>
    <row r="239" spans="1:8" x14ac:dyDescent="0.25">
      <c r="A239">
        <v>4</v>
      </c>
      <c r="B239">
        <v>640346</v>
      </c>
      <c r="C239" t="s">
        <v>5</v>
      </c>
      <c r="D239">
        <v>1372</v>
      </c>
      <c r="E239" s="11">
        <v>44166</v>
      </c>
      <c r="F239" s="38">
        <v>8232</v>
      </c>
      <c r="G239" s="38">
        <v>3773</v>
      </c>
      <c r="H239">
        <v>54.17</v>
      </c>
    </row>
    <row r="240" spans="1:8" x14ac:dyDescent="0.25">
      <c r="A240">
        <v>3</v>
      </c>
      <c r="B240">
        <v>493427</v>
      </c>
      <c r="C240" t="s">
        <v>4</v>
      </c>
      <c r="D240">
        <v>1645</v>
      </c>
      <c r="E240" s="11">
        <v>43952</v>
      </c>
      <c r="F240" s="38">
        <v>8225</v>
      </c>
      <c r="G240" s="38">
        <v>3619</v>
      </c>
      <c r="H240">
        <v>56</v>
      </c>
    </row>
    <row r="241" spans="1:8" x14ac:dyDescent="0.25">
      <c r="A241">
        <v>4</v>
      </c>
      <c r="B241">
        <v>752965</v>
      </c>
      <c r="C241" t="s">
        <v>1</v>
      </c>
      <c r="D241">
        <v>2729</v>
      </c>
      <c r="E241" s="11">
        <v>44166</v>
      </c>
      <c r="F241" s="38">
        <v>8187</v>
      </c>
      <c r="G241" s="38">
        <v>3411.25</v>
      </c>
      <c r="H241">
        <v>58.33</v>
      </c>
    </row>
    <row r="242" spans="1:8" x14ac:dyDescent="0.25">
      <c r="A242">
        <v>4</v>
      </c>
      <c r="B242">
        <v>571542</v>
      </c>
      <c r="C242" t="s">
        <v>4</v>
      </c>
      <c r="D242">
        <v>1631</v>
      </c>
      <c r="E242" s="11">
        <v>44013</v>
      </c>
      <c r="F242" s="38">
        <v>8152.5</v>
      </c>
      <c r="G242" s="38">
        <v>3587.1</v>
      </c>
      <c r="H242">
        <v>56</v>
      </c>
    </row>
    <row r="243" spans="1:8" x14ac:dyDescent="0.25">
      <c r="A243">
        <v>4</v>
      </c>
      <c r="B243">
        <v>768268</v>
      </c>
      <c r="C243" t="s">
        <v>2</v>
      </c>
      <c r="D243">
        <v>2030</v>
      </c>
      <c r="E243" s="11">
        <v>44136</v>
      </c>
      <c r="F243" s="38">
        <v>8120</v>
      </c>
      <c r="G243" s="38">
        <v>3045</v>
      </c>
      <c r="H243">
        <v>62.5</v>
      </c>
    </row>
    <row r="244" spans="1:8" x14ac:dyDescent="0.25">
      <c r="A244">
        <v>4</v>
      </c>
      <c r="B244">
        <v>725869</v>
      </c>
      <c r="C244" t="s">
        <v>2</v>
      </c>
      <c r="D244">
        <v>2021</v>
      </c>
      <c r="E244" s="11">
        <v>44105</v>
      </c>
      <c r="F244" s="38">
        <v>8084</v>
      </c>
      <c r="G244" s="38">
        <v>3031.5</v>
      </c>
      <c r="H244">
        <v>62.5</v>
      </c>
    </row>
    <row r="245" spans="1:8" x14ac:dyDescent="0.25">
      <c r="A245">
        <v>3</v>
      </c>
      <c r="B245">
        <v>216326</v>
      </c>
      <c r="C245" t="s">
        <v>3</v>
      </c>
      <c r="D245">
        <v>1614</v>
      </c>
      <c r="E245" s="11">
        <v>43922</v>
      </c>
      <c r="F245" s="38">
        <v>8070</v>
      </c>
      <c r="G245" s="38">
        <v>3228</v>
      </c>
      <c r="H245">
        <v>60</v>
      </c>
    </row>
    <row r="246" spans="1:8" x14ac:dyDescent="0.25">
      <c r="A246">
        <v>5</v>
      </c>
      <c r="B246">
        <v>639651</v>
      </c>
      <c r="C246" t="s">
        <v>1</v>
      </c>
      <c r="D246">
        <v>2689</v>
      </c>
      <c r="E246" s="11">
        <v>44105</v>
      </c>
      <c r="F246" s="38">
        <v>8067</v>
      </c>
      <c r="G246" s="38">
        <v>3361.25</v>
      </c>
      <c r="H246">
        <v>58.33</v>
      </c>
    </row>
    <row r="247" spans="1:8" x14ac:dyDescent="0.25">
      <c r="A247">
        <v>4</v>
      </c>
      <c r="B247">
        <v>750389</v>
      </c>
      <c r="C247" t="s">
        <v>1</v>
      </c>
      <c r="D247">
        <v>2682</v>
      </c>
      <c r="E247" s="11">
        <v>43770</v>
      </c>
      <c r="F247" s="38">
        <v>8046</v>
      </c>
      <c r="G247" s="38">
        <v>3352.5</v>
      </c>
      <c r="H247">
        <v>58.33</v>
      </c>
    </row>
    <row r="248" spans="1:8" x14ac:dyDescent="0.25">
      <c r="A248">
        <v>1</v>
      </c>
      <c r="B248">
        <v>218291</v>
      </c>
      <c r="C248" t="s">
        <v>3</v>
      </c>
      <c r="D248">
        <v>1607</v>
      </c>
      <c r="E248" s="11">
        <v>43922</v>
      </c>
      <c r="F248" s="38">
        <v>8035</v>
      </c>
      <c r="G248" s="38">
        <v>3214</v>
      </c>
      <c r="H248">
        <v>60</v>
      </c>
    </row>
    <row r="249" spans="1:8" x14ac:dyDescent="0.25">
      <c r="A249">
        <v>3</v>
      </c>
      <c r="B249">
        <v>169621</v>
      </c>
      <c r="C249" t="s">
        <v>5</v>
      </c>
      <c r="D249">
        <v>1333</v>
      </c>
      <c r="E249" s="11">
        <v>44136</v>
      </c>
      <c r="F249" s="38">
        <v>7998</v>
      </c>
      <c r="G249" s="38">
        <v>3665.75</v>
      </c>
      <c r="H249">
        <v>54.17</v>
      </c>
    </row>
    <row r="250" spans="1:8" x14ac:dyDescent="0.25">
      <c r="A250">
        <v>3</v>
      </c>
      <c r="B250">
        <v>513469</v>
      </c>
      <c r="C250" t="s">
        <v>3</v>
      </c>
      <c r="D250">
        <v>1598</v>
      </c>
      <c r="E250" s="11">
        <v>44044</v>
      </c>
      <c r="F250" s="38">
        <v>7990</v>
      </c>
      <c r="G250" s="38">
        <v>3196</v>
      </c>
      <c r="H250">
        <v>60</v>
      </c>
    </row>
    <row r="251" spans="1:8" x14ac:dyDescent="0.25">
      <c r="A251">
        <v>2</v>
      </c>
      <c r="B251">
        <v>774130</v>
      </c>
      <c r="C251" t="s">
        <v>1</v>
      </c>
      <c r="D251">
        <v>2663</v>
      </c>
      <c r="E251" s="11">
        <v>44166</v>
      </c>
      <c r="F251" s="38">
        <v>7989</v>
      </c>
      <c r="G251" s="38">
        <v>3328.75</v>
      </c>
      <c r="H251">
        <v>58.33</v>
      </c>
    </row>
    <row r="252" spans="1:8" x14ac:dyDescent="0.25">
      <c r="A252">
        <v>5</v>
      </c>
      <c r="B252">
        <v>184366</v>
      </c>
      <c r="C252" t="s">
        <v>1</v>
      </c>
      <c r="D252">
        <v>2659</v>
      </c>
      <c r="E252" s="11">
        <v>43862</v>
      </c>
      <c r="F252" s="38">
        <v>7977</v>
      </c>
      <c r="G252" s="38">
        <v>3323.75</v>
      </c>
      <c r="H252">
        <v>58.33</v>
      </c>
    </row>
    <row r="253" spans="1:8" x14ac:dyDescent="0.25">
      <c r="A253">
        <v>5</v>
      </c>
      <c r="B253">
        <v>559510</v>
      </c>
      <c r="C253" t="s">
        <v>3</v>
      </c>
      <c r="D253">
        <v>1594</v>
      </c>
      <c r="E253" s="11">
        <v>44136</v>
      </c>
      <c r="F253" s="38">
        <v>7970</v>
      </c>
      <c r="G253" s="38">
        <v>3188</v>
      </c>
      <c r="H253">
        <v>60</v>
      </c>
    </row>
    <row r="254" spans="1:8" x14ac:dyDescent="0.25">
      <c r="A254">
        <v>4</v>
      </c>
      <c r="B254">
        <v>670662</v>
      </c>
      <c r="C254" t="s">
        <v>3</v>
      </c>
      <c r="D254">
        <v>1583</v>
      </c>
      <c r="E254" s="11">
        <v>43983</v>
      </c>
      <c r="F254" s="38">
        <v>7915</v>
      </c>
      <c r="G254" s="38">
        <v>3166</v>
      </c>
      <c r="H254">
        <v>60</v>
      </c>
    </row>
    <row r="255" spans="1:8" x14ac:dyDescent="0.25">
      <c r="A255">
        <v>3</v>
      </c>
      <c r="B255">
        <v>365552</v>
      </c>
      <c r="C255" t="s">
        <v>3</v>
      </c>
      <c r="D255">
        <v>1570</v>
      </c>
      <c r="E255" s="11">
        <v>43983</v>
      </c>
      <c r="F255" s="38">
        <v>7850</v>
      </c>
      <c r="G255" s="38">
        <v>3140</v>
      </c>
      <c r="H255">
        <v>60</v>
      </c>
    </row>
    <row r="256" spans="1:8" x14ac:dyDescent="0.25">
      <c r="A256">
        <v>4</v>
      </c>
      <c r="B256">
        <v>696979</v>
      </c>
      <c r="C256" t="s">
        <v>5</v>
      </c>
      <c r="D256">
        <v>1307</v>
      </c>
      <c r="E256" s="11">
        <v>44013</v>
      </c>
      <c r="F256" s="38">
        <v>7842</v>
      </c>
      <c r="G256" s="38">
        <v>3594.25</v>
      </c>
      <c r="H256">
        <v>54.17</v>
      </c>
    </row>
    <row r="257" spans="1:8" x14ac:dyDescent="0.25">
      <c r="A257">
        <v>5</v>
      </c>
      <c r="B257">
        <v>626543</v>
      </c>
      <c r="C257" t="s">
        <v>3</v>
      </c>
      <c r="D257">
        <v>1565</v>
      </c>
      <c r="E257" s="11">
        <v>44105</v>
      </c>
      <c r="F257" s="38">
        <v>7825</v>
      </c>
      <c r="G257" s="38">
        <v>3130</v>
      </c>
      <c r="H257">
        <v>60</v>
      </c>
    </row>
    <row r="258" spans="1:8" x14ac:dyDescent="0.25">
      <c r="A258">
        <v>3</v>
      </c>
      <c r="B258">
        <v>863607</v>
      </c>
      <c r="C258" t="s">
        <v>2</v>
      </c>
      <c r="D258">
        <v>1947</v>
      </c>
      <c r="E258" s="11">
        <v>44075</v>
      </c>
      <c r="F258" s="38">
        <v>7788</v>
      </c>
      <c r="G258" s="38">
        <v>2920.5</v>
      </c>
      <c r="H258">
        <v>62.5</v>
      </c>
    </row>
    <row r="259" spans="1:8" x14ac:dyDescent="0.25">
      <c r="A259">
        <v>1</v>
      </c>
      <c r="B259">
        <v>241164</v>
      </c>
      <c r="C259" t="s">
        <v>2</v>
      </c>
      <c r="D259">
        <v>1937</v>
      </c>
      <c r="E259" s="11">
        <v>43862</v>
      </c>
      <c r="F259" s="38">
        <v>7748</v>
      </c>
      <c r="G259" s="38">
        <v>2905.5</v>
      </c>
      <c r="H259">
        <v>62.5</v>
      </c>
    </row>
    <row r="260" spans="1:8" x14ac:dyDescent="0.25">
      <c r="A260">
        <v>2</v>
      </c>
      <c r="B260">
        <v>384410</v>
      </c>
      <c r="C260" t="s">
        <v>1</v>
      </c>
      <c r="D260">
        <v>2567</v>
      </c>
      <c r="E260" s="11">
        <v>43983</v>
      </c>
      <c r="F260" s="38">
        <v>7701</v>
      </c>
      <c r="G260" s="38">
        <v>3208.75</v>
      </c>
      <c r="H260">
        <v>58.33</v>
      </c>
    </row>
    <row r="261" spans="1:8" x14ac:dyDescent="0.25">
      <c r="A261">
        <v>3</v>
      </c>
      <c r="B261">
        <v>293863</v>
      </c>
      <c r="C261" t="s">
        <v>3</v>
      </c>
      <c r="D261">
        <v>1535</v>
      </c>
      <c r="E261" s="11">
        <v>44075</v>
      </c>
      <c r="F261" s="38">
        <v>7675</v>
      </c>
      <c r="G261" s="38">
        <v>3070</v>
      </c>
      <c r="H261">
        <v>60</v>
      </c>
    </row>
    <row r="262" spans="1:8" x14ac:dyDescent="0.25">
      <c r="A262">
        <v>3</v>
      </c>
      <c r="B262">
        <v>143923</v>
      </c>
      <c r="C262" t="s">
        <v>3</v>
      </c>
      <c r="D262">
        <v>1531</v>
      </c>
      <c r="E262" s="11">
        <v>44166</v>
      </c>
      <c r="F262" s="38">
        <v>7655</v>
      </c>
      <c r="G262" s="38">
        <v>3062</v>
      </c>
      <c r="H262">
        <v>60</v>
      </c>
    </row>
    <row r="263" spans="1:8" x14ac:dyDescent="0.25">
      <c r="A263">
        <v>3</v>
      </c>
      <c r="B263">
        <v>444518</v>
      </c>
      <c r="C263" t="s">
        <v>1</v>
      </c>
      <c r="D263">
        <v>2541</v>
      </c>
      <c r="E263" s="11">
        <v>44044</v>
      </c>
      <c r="F263" s="38">
        <v>7623</v>
      </c>
      <c r="G263" s="38">
        <v>3176.25</v>
      </c>
      <c r="H263">
        <v>58.33</v>
      </c>
    </row>
    <row r="264" spans="1:8" x14ac:dyDescent="0.25">
      <c r="A264">
        <v>3</v>
      </c>
      <c r="B264">
        <v>447945</v>
      </c>
      <c r="C264" t="s">
        <v>5</v>
      </c>
      <c r="D264">
        <v>1269</v>
      </c>
      <c r="E264" s="11">
        <v>44105</v>
      </c>
      <c r="F264" s="38">
        <v>7614</v>
      </c>
      <c r="G264" s="38">
        <v>3489.75</v>
      </c>
      <c r="H264">
        <v>54.17</v>
      </c>
    </row>
    <row r="265" spans="1:8" x14ac:dyDescent="0.25">
      <c r="A265">
        <v>5</v>
      </c>
      <c r="B265">
        <v>872307</v>
      </c>
      <c r="C265" t="s">
        <v>4</v>
      </c>
      <c r="D265">
        <v>1520</v>
      </c>
      <c r="E265" s="11">
        <v>44136</v>
      </c>
      <c r="F265" s="38">
        <v>7600</v>
      </c>
      <c r="G265" s="38">
        <v>3344</v>
      </c>
      <c r="H265">
        <v>56</v>
      </c>
    </row>
    <row r="266" spans="1:8" x14ac:dyDescent="0.25">
      <c r="A266">
        <v>2</v>
      </c>
      <c r="B266">
        <v>820943</v>
      </c>
      <c r="C266" t="s">
        <v>1</v>
      </c>
      <c r="D266">
        <v>2529</v>
      </c>
      <c r="E266" s="11">
        <v>44136</v>
      </c>
      <c r="F266" s="38">
        <v>7587</v>
      </c>
      <c r="G266" s="38">
        <v>3161.25</v>
      </c>
      <c r="H266">
        <v>58.33</v>
      </c>
    </row>
    <row r="267" spans="1:8" x14ac:dyDescent="0.25">
      <c r="A267">
        <v>3</v>
      </c>
      <c r="B267">
        <v>636371</v>
      </c>
      <c r="C267" t="s">
        <v>5</v>
      </c>
      <c r="D267">
        <v>1262</v>
      </c>
      <c r="E267" s="11">
        <v>43952</v>
      </c>
      <c r="F267" s="38">
        <v>7572</v>
      </c>
      <c r="G267" s="38">
        <v>3470.5</v>
      </c>
      <c r="H267">
        <v>54.17</v>
      </c>
    </row>
    <row r="268" spans="1:8" x14ac:dyDescent="0.25">
      <c r="A268">
        <v>3</v>
      </c>
      <c r="B268">
        <v>538134</v>
      </c>
      <c r="C268" t="s">
        <v>3</v>
      </c>
      <c r="D268">
        <v>1514</v>
      </c>
      <c r="E268" s="11">
        <v>43739</v>
      </c>
      <c r="F268" s="38">
        <v>7570</v>
      </c>
      <c r="G268" s="38">
        <v>3028</v>
      </c>
      <c r="H268">
        <v>60</v>
      </c>
    </row>
    <row r="269" spans="1:8" x14ac:dyDescent="0.25">
      <c r="A269">
        <v>3</v>
      </c>
      <c r="B269">
        <v>562219</v>
      </c>
      <c r="C269" t="s">
        <v>3</v>
      </c>
      <c r="D269">
        <v>1514</v>
      </c>
      <c r="E269" s="11">
        <v>43862</v>
      </c>
      <c r="F269" s="38">
        <v>7570</v>
      </c>
      <c r="G269" s="38">
        <v>3028</v>
      </c>
      <c r="H269">
        <v>60</v>
      </c>
    </row>
    <row r="270" spans="1:8" x14ac:dyDescent="0.25">
      <c r="A270">
        <v>3</v>
      </c>
      <c r="B270">
        <v>183251</v>
      </c>
      <c r="C270" t="s">
        <v>3</v>
      </c>
      <c r="D270">
        <v>1513</v>
      </c>
      <c r="E270" s="11">
        <v>44166</v>
      </c>
      <c r="F270" s="38">
        <v>7565</v>
      </c>
      <c r="G270" s="38">
        <v>3026</v>
      </c>
      <c r="H270">
        <v>60</v>
      </c>
    </row>
    <row r="271" spans="1:8" x14ac:dyDescent="0.25">
      <c r="A271">
        <v>1</v>
      </c>
      <c r="B271">
        <v>572044</v>
      </c>
      <c r="C271" t="s">
        <v>2</v>
      </c>
      <c r="D271">
        <v>1884</v>
      </c>
      <c r="E271" s="11">
        <v>44044</v>
      </c>
      <c r="F271" s="38">
        <v>7536</v>
      </c>
      <c r="G271" s="38">
        <v>2826</v>
      </c>
      <c r="H271">
        <v>62.5</v>
      </c>
    </row>
    <row r="272" spans="1:8" x14ac:dyDescent="0.25">
      <c r="A272">
        <v>2</v>
      </c>
      <c r="B272">
        <v>553803</v>
      </c>
      <c r="C272" t="s">
        <v>5</v>
      </c>
      <c r="D272">
        <v>1250</v>
      </c>
      <c r="E272" s="11">
        <v>44166</v>
      </c>
      <c r="F272" s="38">
        <v>7500</v>
      </c>
      <c r="G272" s="38">
        <v>3437.5</v>
      </c>
      <c r="H272">
        <v>54.17</v>
      </c>
    </row>
    <row r="273" spans="1:8" x14ac:dyDescent="0.25">
      <c r="A273">
        <v>3</v>
      </c>
      <c r="B273">
        <v>568366</v>
      </c>
      <c r="C273" t="s">
        <v>3</v>
      </c>
      <c r="D273">
        <v>1496</v>
      </c>
      <c r="E273" s="11">
        <v>43983</v>
      </c>
      <c r="F273" s="38">
        <v>7480</v>
      </c>
      <c r="G273" s="38">
        <v>2992</v>
      </c>
      <c r="H273">
        <v>60</v>
      </c>
    </row>
    <row r="274" spans="1:8" x14ac:dyDescent="0.25">
      <c r="A274">
        <v>5</v>
      </c>
      <c r="B274">
        <v>792599</v>
      </c>
      <c r="C274" t="s">
        <v>1</v>
      </c>
      <c r="D274">
        <v>2487</v>
      </c>
      <c r="E274" s="11">
        <v>44166</v>
      </c>
      <c r="F274" s="38">
        <v>7461</v>
      </c>
      <c r="G274" s="38">
        <v>3108.75</v>
      </c>
      <c r="H274">
        <v>58.33</v>
      </c>
    </row>
    <row r="275" spans="1:8" x14ac:dyDescent="0.25">
      <c r="A275">
        <v>3</v>
      </c>
      <c r="B275">
        <v>449939</v>
      </c>
      <c r="C275" t="s">
        <v>2</v>
      </c>
      <c r="D275">
        <v>1865</v>
      </c>
      <c r="E275" s="11">
        <v>43862</v>
      </c>
      <c r="F275" s="38">
        <v>7460</v>
      </c>
      <c r="G275" s="38">
        <v>2797.5</v>
      </c>
      <c r="H275">
        <v>62.5</v>
      </c>
    </row>
    <row r="276" spans="1:8" x14ac:dyDescent="0.25">
      <c r="A276">
        <v>2</v>
      </c>
      <c r="B276">
        <v>444395</v>
      </c>
      <c r="C276" t="s">
        <v>1</v>
      </c>
      <c r="D276">
        <v>2479</v>
      </c>
      <c r="E276" s="11">
        <v>43831</v>
      </c>
      <c r="F276" s="38">
        <v>7437</v>
      </c>
      <c r="G276" s="38">
        <v>3098.75</v>
      </c>
      <c r="H276">
        <v>58.33</v>
      </c>
    </row>
    <row r="277" spans="1:8" x14ac:dyDescent="0.25">
      <c r="A277">
        <v>3</v>
      </c>
      <c r="B277">
        <v>161388</v>
      </c>
      <c r="C277" t="s">
        <v>2</v>
      </c>
      <c r="D277">
        <v>1858</v>
      </c>
      <c r="E277" s="11">
        <v>43862</v>
      </c>
      <c r="F277" s="38">
        <v>7432</v>
      </c>
      <c r="G277" s="38">
        <v>2787</v>
      </c>
      <c r="H277">
        <v>62.5</v>
      </c>
    </row>
    <row r="278" spans="1:8" x14ac:dyDescent="0.25">
      <c r="A278">
        <v>4</v>
      </c>
      <c r="B278">
        <v>119027</v>
      </c>
      <c r="C278" t="s">
        <v>2</v>
      </c>
      <c r="D278">
        <v>1834</v>
      </c>
      <c r="E278" s="11">
        <v>43709</v>
      </c>
      <c r="F278" s="38">
        <v>7336</v>
      </c>
      <c r="G278" s="38">
        <v>2751</v>
      </c>
      <c r="H278">
        <v>62.5</v>
      </c>
    </row>
    <row r="279" spans="1:8" x14ac:dyDescent="0.25">
      <c r="A279">
        <v>3</v>
      </c>
      <c r="B279">
        <v>669715</v>
      </c>
      <c r="C279" t="s">
        <v>5</v>
      </c>
      <c r="D279">
        <v>1221</v>
      </c>
      <c r="E279" s="11">
        <v>43739</v>
      </c>
      <c r="F279" s="38">
        <v>7326</v>
      </c>
      <c r="G279" s="38">
        <v>3357.75</v>
      </c>
      <c r="H279">
        <v>54.17</v>
      </c>
    </row>
    <row r="280" spans="1:8" x14ac:dyDescent="0.25">
      <c r="A280">
        <v>5</v>
      </c>
      <c r="B280">
        <v>562962</v>
      </c>
      <c r="C280" t="s">
        <v>1</v>
      </c>
      <c r="D280">
        <v>2436</v>
      </c>
      <c r="E280" s="11">
        <v>43800</v>
      </c>
      <c r="F280" s="38">
        <v>7308</v>
      </c>
      <c r="G280" s="38">
        <v>3045</v>
      </c>
      <c r="H280">
        <v>58.33</v>
      </c>
    </row>
    <row r="281" spans="1:8" x14ac:dyDescent="0.25">
      <c r="A281">
        <v>3</v>
      </c>
      <c r="B281">
        <v>710711</v>
      </c>
      <c r="C281" t="s">
        <v>3</v>
      </c>
      <c r="D281">
        <v>1439</v>
      </c>
      <c r="E281" s="11">
        <v>43831</v>
      </c>
      <c r="F281" s="38">
        <v>7192.5</v>
      </c>
      <c r="G281" s="38">
        <v>2877</v>
      </c>
      <c r="H281">
        <v>60</v>
      </c>
    </row>
    <row r="282" spans="1:8" x14ac:dyDescent="0.25">
      <c r="A282">
        <v>3</v>
      </c>
      <c r="B282">
        <v>821698</v>
      </c>
      <c r="C282" t="s">
        <v>4</v>
      </c>
      <c r="D282">
        <v>1433</v>
      </c>
      <c r="E282" s="11">
        <v>43952</v>
      </c>
      <c r="F282" s="38">
        <v>7165</v>
      </c>
      <c r="G282" s="38">
        <v>3152.6</v>
      </c>
      <c r="H282">
        <v>56</v>
      </c>
    </row>
    <row r="283" spans="1:8" x14ac:dyDescent="0.25">
      <c r="A283">
        <v>2</v>
      </c>
      <c r="B283">
        <v>601126</v>
      </c>
      <c r="C283" t="s">
        <v>1</v>
      </c>
      <c r="D283">
        <v>2387</v>
      </c>
      <c r="E283" s="11">
        <v>44136</v>
      </c>
      <c r="F283" s="38">
        <v>7161</v>
      </c>
      <c r="G283" s="38">
        <v>2983.75</v>
      </c>
      <c r="H283">
        <v>58.33</v>
      </c>
    </row>
    <row r="284" spans="1:8" x14ac:dyDescent="0.25">
      <c r="A284">
        <v>3</v>
      </c>
      <c r="B284">
        <v>317699</v>
      </c>
      <c r="C284" t="s">
        <v>2</v>
      </c>
      <c r="D284">
        <v>1790</v>
      </c>
      <c r="E284" s="11">
        <v>43891</v>
      </c>
      <c r="F284" s="38">
        <v>7160</v>
      </c>
      <c r="G284" s="38">
        <v>2685</v>
      </c>
      <c r="H284">
        <v>62.5</v>
      </c>
    </row>
    <row r="285" spans="1:8" x14ac:dyDescent="0.25">
      <c r="A285">
        <v>3</v>
      </c>
      <c r="B285">
        <v>168032</v>
      </c>
      <c r="C285" t="s">
        <v>5</v>
      </c>
      <c r="D285">
        <v>1190</v>
      </c>
      <c r="E285" s="11">
        <v>43983</v>
      </c>
      <c r="F285" s="38">
        <v>7140</v>
      </c>
      <c r="G285" s="38">
        <v>3272.5</v>
      </c>
      <c r="H285">
        <v>54.17</v>
      </c>
    </row>
    <row r="286" spans="1:8" x14ac:dyDescent="0.25">
      <c r="A286">
        <v>4</v>
      </c>
      <c r="B286">
        <v>595670</v>
      </c>
      <c r="C286" t="s">
        <v>3</v>
      </c>
      <c r="D286">
        <v>1415</v>
      </c>
      <c r="E286" s="11">
        <v>43922</v>
      </c>
      <c r="F286" s="38">
        <v>7072.5</v>
      </c>
      <c r="G286" s="38">
        <v>2829</v>
      </c>
      <c r="H286">
        <v>60</v>
      </c>
    </row>
    <row r="287" spans="1:8" x14ac:dyDescent="0.25">
      <c r="A287">
        <v>1</v>
      </c>
      <c r="B287">
        <v>345233</v>
      </c>
      <c r="C287" t="s">
        <v>2</v>
      </c>
      <c r="D287">
        <v>1761</v>
      </c>
      <c r="E287" s="11">
        <v>43891</v>
      </c>
      <c r="F287" s="38">
        <v>7044</v>
      </c>
      <c r="G287" s="38">
        <v>2641.5</v>
      </c>
      <c r="H287">
        <v>62.5</v>
      </c>
    </row>
    <row r="288" spans="1:8" x14ac:dyDescent="0.25">
      <c r="A288">
        <v>3</v>
      </c>
      <c r="B288">
        <v>521535</v>
      </c>
      <c r="C288" t="s">
        <v>3</v>
      </c>
      <c r="D288">
        <v>1404</v>
      </c>
      <c r="E288" s="11">
        <v>43770</v>
      </c>
      <c r="F288" s="38">
        <v>7020</v>
      </c>
      <c r="G288" s="38">
        <v>2808</v>
      </c>
      <c r="H288">
        <v>60</v>
      </c>
    </row>
    <row r="289" spans="1:8" x14ac:dyDescent="0.25">
      <c r="A289">
        <v>3</v>
      </c>
      <c r="B289">
        <v>504962</v>
      </c>
      <c r="C289" t="s">
        <v>4</v>
      </c>
      <c r="D289">
        <v>1403</v>
      </c>
      <c r="E289" s="11">
        <v>43739</v>
      </c>
      <c r="F289" s="38">
        <v>7015</v>
      </c>
      <c r="G289" s="38">
        <v>3086.6</v>
      </c>
      <c r="H289">
        <v>56</v>
      </c>
    </row>
    <row r="290" spans="1:8" x14ac:dyDescent="0.25">
      <c r="A290">
        <v>3</v>
      </c>
      <c r="B290">
        <v>406234</v>
      </c>
      <c r="C290" t="s">
        <v>1</v>
      </c>
      <c r="D290">
        <v>2338</v>
      </c>
      <c r="E290" s="11">
        <v>43983</v>
      </c>
      <c r="F290" s="38">
        <v>7014</v>
      </c>
      <c r="G290" s="38">
        <v>2922.5</v>
      </c>
      <c r="H290">
        <v>58.33</v>
      </c>
    </row>
    <row r="291" spans="1:8" x14ac:dyDescent="0.25">
      <c r="A291">
        <v>3</v>
      </c>
      <c r="B291">
        <v>759484</v>
      </c>
      <c r="C291" t="s">
        <v>2</v>
      </c>
      <c r="D291">
        <v>1743</v>
      </c>
      <c r="E291" s="11">
        <v>43952</v>
      </c>
      <c r="F291" s="38">
        <v>6972</v>
      </c>
      <c r="G291" s="38">
        <v>2614.5</v>
      </c>
      <c r="H291">
        <v>62.5</v>
      </c>
    </row>
    <row r="292" spans="1:8" x14ac:dyDescent="0.25">
      <c r="A292">
        <v>2</v>
      </c>
      <c r="B292">
        <v>158597</v>
      </c>
      <c r="C292" t="s">
        <v>3</v>
      </c>
      <c r="D292">
        <v>1393</v>
      </c>
      <c r="E292" s="11">
        <v>44105</v>
      </c>
      <c r="F292" s="38">
        <v>6965</v>
      </c>
      <c r="G292" s="38">
        <v>2786</v>
      </c>
      <c r="H292">
        <v>60</v>
      </c>
    </row>
    <row r="293" spans="1:8" x14ac:dyDescent="0.25">
      <c r="A293">
        <v>3</v>
      </c>
      <c r="B293">
        <v>540063</v>
      </c>
      <c r="C293" t="s">
        <v>4</v>
      </c>
      <c r="D293">
        <v>1393</v>
      </c>
      <c r="E293" s="11">
        <v>44105</v>
      </c>
      <c r="F293" s="38">
        <v>6965</v>
      </c>
      <c r="G293" s="38">
        <v>3064.6</v>
      </c>
      <c r="H293">
        <v>56</v>
      </c>
    </row>
    <row r="294" spans="1:8" x14ac:dyDescent="0.25">
      <c r="A294">
        <v>3</v>
      </c>
      <c r="B294">
        <v>691331</v>
      </c>
      <c r="C294" t="s">
        <v>3</v>
      </c>
      <c r="D294">
        <v>1389</v>
      </c>
      <c r="E294" s="11">
        <v>43739</v>
      </c>
      <c r="F294" s="38">
        <v>6945</v>
      </c>
      <c r="G294" s="38">
        <v>2778</v>
      </c>
      <c r="H294">
        <v>60</v>
      </c>
    </row>
    <row r="295" spans="1:8" x14ac:dyDescent="0.25">
      <c r="A295">
        <v>1</v>
      </c>
      <c r="B295">
        <v>872775</v>
      </c>
      <c r="C295" t="s">
        <v>1</v>
      </c>
      <c r="D295">
        <v>2297</v>
      </c>
      <c r="E295" s="11">
        <v>43770</v>
      </c>
      <c r="F295" s="38">
        <v>6891</v>
      </c>
      <c r="G295" s="38">
        <v>2871.25</v>
      </c>
      <c r="H295">
        <v>58.33</v>
      </c>
    </row>
    <row r="296" spans="1:8" x14ac:dyDescent="0.25">
      <c r="A296">
        <v>2</v>
      </c>
      <c r="B296">
        <v>540189</v>
      </c>
      <c r="C296" t="s">
        <v>1</v>
      </c>
      <c r="D296">
        <v>2294</v>
      </c>
      <c r="E296" s="11">
        <v>43739</v>
      </c>
      <c r="F296" s="38">
        <v>6882</v>
      </c>
      <c r="G296" s="38">
        <v>2867.5</v>
      </c>
      <c r="H296">
        <v>58.33</v>
      </c>
    </row>
    <row r="297" spans="1:8" x14ac:dyDescent="0.25">
      <c r="A297">
        <v>4</v>
      </c>
      <c r="B297">
        <v>545954</v>
      </c>
      <c r="C297" t="s">
        <v>4</v>
      </c>
      <c r="D297">
        <v>1375</v>
      </c>
      <c r="E297" s="11">
        <v>43800</v>
      </c>
      <c r="F297" s="38">
        <v>6875</v>
      </c>
      <c r="G297" s="38">
        <v>3025</v>
      </c>
      <c r="H297">
        <v>56</v>
      </c>
    </row>
    <row r="298" spans="1:8" x14ac:dyDescent="0.25">
      <c r="A298">
        <v>1</v>
      </c>
      <c r="B298">
        <v>631270</v>
      </c>
      <c r="C298" t="s">
        <v>3</v>
      </c>
      <c r="D298">
        <v>1372</v>
      </c>
      <c r="E298" s="11">
        <v>43831</v>
      </c>
      <c r="F298" s="38">
        <v>6860</v>
      </c>
      <c r="G298" s="38">
        <v>2744</v>
      </c>
      <c r="H298">
        <v>60</v>
      </c>
    </row>
    <row r="299" spans="1:8" x14ac:dyDescent="0.25">
      <c r="A299">
        <v>5</v>
      </c>
      <c r="B299">
        <v>560670</v>
      </c>
      <c r="C299" t="s">
        <v>4</v>
      </c>
      <c r="D299">
        <v>1372</v>
      </c>
      <c r="E299" s="11">
        <v>44166</v>
      </c>
      <c r="F299" s="38">
        <v>6860</v>
      </c>
      <c r="G299" s="38">
        <v>3018.4</v>
      </c>
      <c r="H299">
        <v>56</v>
      </c>
    </row>
    <row r="300" spans="1:8" x14ac:dyDescent="0.25">
      <c r="A300">
        <v>4</v>
      </c>
      <c r="B300">
        <v>713958</v>
      </c>
      <c r="C300" t="s">
        <v>3</v>
      </c>
      <c r="D300">
        <v>1370</v>
      </c>
      <c r="E300" s="11">
        <v>44013</v>
      </c>
      <c r="F300" s="38">
        <v>6847.5</v>
      </c>
      <c r="G300" s="38">
        <v>2739</v>
      </c>
      <c r="H300">
        <v>60</v>
      </c>
    </row>
    <row r="301" spans="1:8" x14ac:dyDescent="0.25">
      <c r="A301">
        <v>3</v>
      </c>
      <c r="B301">
        <v>418690</v>
      </c>
      <c r="C301" t="s">
        <v>3</v>
      </c>
      <c r="D301">
        <v>1366</v>
      </c>
      <c r="E301" s="11">
        <v>43983</v>
      </c>
      <c r="F301" s="38">
        <v>6830</v>
      </c>
      <c r="G301" s="38">
        <v>2732</v>
      </c>
      <c r="H301">
        <v>60</v>
      </c>
    </row>
    <row r="302" spans="1:8" x14ac:dyDescent="0.25">
      <c r="A302">
        <v>3</v>
      </c>
      <c r="B302">
        <v>277131</v>
      </c>
      <c r="C302" t="s">
        <v>4</v>
      </c>
      <c r="D302">
        <v>1366</v>
      </c>
      <c r="E302" s="11">
        <v>43983</v>
      </c>
      <c r="F302" s="38">
        <v>6830</v>
      </c>
      <c r="G302" s="38">
        <v>3005.2</v>
      </c>
      <c r="H302">
        <v>56</v>
      </c>
    </row>
    <row r="303" spans="1:8" x14ac:dyDescent="0.25">
      <c r="A303">
        <v>3</v>
      </c>
      <c r="B303">
        <v>781275</v>
      </c>
      <c r="C303" t="s">
        <v>3</v>
      </c>
      <c r="D303">
        <v>1366</v>
      </c>
      <c r="E303" s="11">
        <v>44136</v>
      </c>
      <c r="F303" s="38">
        <v>6830</v>
      </c>
      <c r="G303" s="38">
        <v>2732</v>
      </c>
      <c r="H303">
        <v>60</v>
      </c>
    </row>
    <row r="304" spans="1:8" x14ac:dyDescent="0.25">
      <c r="A304">
        <v>3</v>
      </c>
      <c r="B304">
        <v>223911</v>
      </c>
      <c r="C304" t="s">
        <v>5</v>
      </c>
      <c r="D304">
        <v>1135</v>
      </c>
      <c r="E304" s="11">
        <v>43983</v>
      </c>
      <c r="F304" s="38">
        <v>6810</v>
      </c>
      <c r="G304" s="38">
        <v>3121.25</v>
      </c>
      <c r="H304">
        <v>54.17</v>
      </c>
    </row>
    <row r="305" spans="1:8" x14ac:dyDescent="0.25">
      <c r="A305">
        <v>5</v>
      </c>
      <c r="B305">
        <v>816536</v>
      </c>
      <c r="C305" t="s">
        <v>3</v>
      </c>
      <c r="D305">
        <v>1362</v>
      </c>
      <c r="E305" s="11">
        <v>44166</v>
      </c>
      <c r="F305" s="38">
        <v>6810</v>
      </c>
      <c r="G305" s="38">
        <v>2724</v>
      </c>
      <c r="H305">
        <v>60</v>
      </c>
    </row>
    <row r="306" spans="1:8" x14ac:dyDescent="0.25">
      <c r="A306">
        <v>2</v>
      </c>
      <c r="B306">
        <v>259455</v>
      </c>
      <c r="C306" t="s">
        <v>3</v>
      </c>
      <c r="D306">
        <v>1359</v>
      </c>
      <c r="E306" s="11">
        <v>44136</v>
      </c>
      <c r="F306" s="38">
        <v>6795</v>
      </c>
      <c r="G306" s="38">
        <v>2718</v>
      </c>
      <c r="H306">
        <v>60</v>
      </c>
    </row>
    <row r="307" spans="1:8" x14ac:dyDescent="0.25">
      <c r="A307">
        <v>3</v>
      </c>
      <c r="B307">
        <v>357838</v>
      </c>
      <c r="C307" t="s">
        <v>4</v>
      </c>
      <c r="D307">
        <v>1350</v>
      </c>
      <c r="E307" s="11">
        <v>43862</v>
      </c>
      <c r="F307" s="38">
        <v>6750</v>
      </c>
      <c r="G307" s="38">
        <v>2970</v>
      </c>
      <c r="H307">
        <v>56</v>
      </c>
    </row>
    <row r="308" spans="1:8" x14ac:dyDescent="0.25">
      <c r="A308">
        <v>1</v>
      </c>
      <c r="B308">
        <v>594463</v>
      </c>
      <c r="C308" t="s">
        <v>1</v>
      </c>
      <c r="D308">
        <v>2234</v>
      </c>
      <c r="E308" s="11">
        <v>43709</v>
      </c>
      <c r="F308" s="38">
        <v>6702</v>
      </c>
      <c r="G308" s="38">
        <v>2792.5</v>
      </c>
      <c r="H308">
        <v>58.33</v>
      </c>
    </row>
    <row r="309" spans="1:8" x14ac:dyDescent="0.25">
      <c r="A309">
        <v>5</v>
      </c>
      <c r="B309">
        <v>899556</v>
      </c>
      <c r="C309" t="s">
        <v>1</v>
      </c>
      <c r="D309">
        <v>2215</v>
      </c>
      <c r="E309" s="11">
        <v>43709</v>
      </c>
      <c r="F309" s="38">
        <v>6645</v>
      </c>
      <c r="G309" s="38">
        <v>2768.75</v>
      </c>
      <c r="H309">
        <v>58.33</v>
      </c>
    </row>
    <row r="310" spans="1:8" x14ac:dyDescent="0.25">
      <c r="A310">
        <v>2</v>
      </c>
      <c r="B310">
        <v>205484</v>
      </c>
      <c r="C310" t="s">
        <v>3</v>
      </c>
      <c r="D310">
        <v>1324</v>
      </c>
      <c r="E310" s="11">
        <v>44136</v>
      </c>
      <c r="F310" s="38">
        <v>6620</v>
      </c>
      <c r="G310" s="38">
        <v>2648</v>
      </c>
      <c r="H310">
        <v>60</v>
      </c>
    </row>
    <row r="311" spans="1:8" x14ac:dyDescent="0.25">
      <c r="A311">
        <v>2</v>
      </c>
      <c r="B311">
        <v>246621</v>
      </c>
      <c r="C311" t="s">
        <v>1</v>
      </c>
      <c r="D311">
        <v>2178</v>
      </c>
      <c r="E311" s="11">
        <v>43983</v>
      </c>
      <c r="F311" s="38">
        <v>6534</v>
      </c>
      <c r="G311" s="38">
        <v>2722.5</v>
      </c>
      <c r="H311">
        <v>58.33</v>
      </c>
    </row>
    <row r="312" spans="1:8" x14ac:dyDescent="0.25">
      <c r="A312">
        <v>1</v>
      </c>
      <c r="B312">
        <v>144559</v>
      </c>
      <c r="C312" t="s">
        <v>1</v>
      </c>
      <c r="D312">
        <v>2177</v>
      </c>
      <c r="E312" s="11">
        <v>44105</v>
      </c>
      <c r="F312" s="38">
        <v>6531</v>
      </c>
      <c r="G312" s="38">
        <v>2721.25</v>
      </c>
      <c r="H312">
        <v>58.33</v>
      </c>
    </row>
    <row r="313" spans="1:8" x14ac:dyDescent="0.25">
      <c r="A313">
        <v>5</v>
      </c>
      <c r="B313">
        <v>833644</v>
      </c>
      <c r="C313" t="s">
        <v>3</v>
      </c>
      <c r="D313">
        <v>1303</v>
      </c>
      <c r="E313" s="11">
        <v>43862</v>
      </c>
      <c r="F313" s="38">
        <v>6515</v>
      </c>
      <c r="G313" s="38">
        <v>2606</v>
      </c>
      <c r="H313">
        <v>60</v>
      </c>
    </row>
    <row r="314" spans="1:8" x14ac:dyDescent="0.25">
      <c r="A314">
        <v>2</v>
      </c>
      <c r="B314">
        <v>765978</v>
      </c>
      <c r="C314" t="s">
        <v>5</v>
      </c>
      <c r="D314">
        <v>1084</v>
      </c>
      <c r="E314" s="11">
        <v>44166</v>
      </c>
      <c r="F314" s="38">
        <v>6504</v>
      </c>
      <c r="G314" s="38">
        <v>2981</v>
      </c>
      <c r="H314">
        <v>54.17</v>
      </c>
    </row>
    <row r="315" spans="1:8" x14ac:dyDescent="0.25">
      <c r="A315">
        <v>5</v>
      </c>
      <c r="B315">
        <v>823956</v>
      </c>
      <c r="C315" t="s">
        <v>1</v>
      </c>
      <c r="D315">
        <v>2167</v>
      </c>
      <c r="E315" s="11">
        <v>43739</v>
      </c>
      <c r="F315" s="38">
        <v>6501</v>
      </c>
      <c r="G315" s="38">
        <v>2708.75</v>
      </c>
      <c r="H315">
        <v>58.33</v>
      </c>
    </row>
    <row r="316" spans="1:8" x14ac:dyDescent="0.25">
      <c r="A316">
        <v>4</v>
      </c>
      <c r="B316">
        <v>776532</v>
      </c>
      <c r="C316" t="s">
        <v>3</v>
      </c>
      <c r="D316">
        <v>1295</v>
      </c>
      <c r="E316" s="11">
        <v>44105</v>
      </c>
      <c r="F316" s="38">
        <v>6475</v>
      </c>
      <c r="G316" s="38">
        <v>2590</v>
      </c>
      <c r="H316">
        <v>60</v>
      </c>
    </row>
    <row r="317" spans="1:8" x14ac:dyDescent="0.25">
      <c r="A317">
        <v>1</v>
      </c>
      <c r="B317">
        <v>194906</v>
      </c>
      <c r="C317" t="s">
        <v>2</v>
      </c>
      <c r="D317">
        <v>1619</v>
      </c>
      <c r="E317" s="11">
        <v>43831</v>
      </c>
      <c r="F317" s="38">
        <v>6474</v>
      </c>
      <c r="G317" s="38">
        <v>2427.75</v>
      </c>
      <c r="H317">
        <v>62.5</v>
      </c>
    </row>
    <row r="318" spans="1:8" x14ac:dyDescent="0.25">
      <c r="A318">
        <v>5</v>
      </c>
      <c r="B318">
        <v>505496</v>
      </c>
      <c r="C318" t="s">
        <v>1</v>
      </c>
      <c r="D318">
        <v>2151</v>
      </c>
      <c r="E318" s="11">
        <v>44075</v>
      </c>
      <c r="F318" s="38">
        <v>6453</v>
      </c>
      <c r="G318" s="38">
        <v>2688.75</v>
      </c>
      <c r="H318">
        <v>58.33</v>
      </c>
    </row>
    <row r="319" spans="1:8" x14ac:dyDescent="0.25">
      <c r="A319">
        <v>2</v>
      </c>
      <c r="B319">
        <v>455780</v>
      </c>
      <c r="C319" t="s">
        <v>3</v>
      </c>
      <c r="D319">
        <v>1287</v>
      </c>
      <c r="E319" s="11">
        <v>44166</v>
      </c>
      <c r="F319" s="38">
        <v>6435</v>
      </c>
      <c r="G319" s="38">
        <v>2574</v>
      </c>
      <c r="H319">
        <v>60</v>
      </c>
    </row>
    <row r="320" spans="1:8" x14ac:dyDescent="0.25">
      <c r="A320">
        <v>3</v>
      </c>
      <c r="B320">
        <v>786700</v>
      </c>
      <c r="C320" t="s">
        <v>4</v>
      </c>
      <c r="D320">
        <v>1282</v>
      </c>
      <c r="E320" s="11">
        <v>43983</v>
      </c>
      <c r="F320" s="38">
        <v>6410</v>
      </c>
      <c r="G320" s="38">
        <v>2820.4</v>
      </c>
      <c r="H320">
        <v>56</v>
      </c>
    </row>
    <row r="321" spans="1:8" x14ac:dyDescent="0.25">
      <c r="A321">
        <v>4</v>
      </c>
      <c r="B321">
        <v>711362</v>
      </c>
      <c r="C321" t="s">
        <v>1</v>
      </c>
      <c r="D321">
        <v>2134</v>
      </c>
      <c r="E321" s="11">
        <v>44075</v>
      </c>
      <c r="F321" s="38">
        <v>6402</v>
      </c>
      <c r="G321" s="38">
        <v>2667.5</v>
      </c>
      <c r="H321">
        <v>58.33</v>
      </c>
    </row>
    <row r="322" spans="1:8" x14ac:dyDescent="0.25">
      <c r="A322">
        <v>4</v>
      </c>
      <c r="B322">
        <v>131700</v>
      </c>
      <c r="C322" t="s">
        <v>4</v>
      </c>
      <c r="D322">
        <v>1269</v>
      </c>
      <c r="E322" s="11">
        <v>44105</v>
      </c>
      <c r="F322" s="38">
        <v>6345</v>
      </c>
      <c r="G322" s="38">
        <v>2791.8</v>
      </c>
      <c r="H322">
        <v>56</v>
      </c>
    </row>
    <row r="323" spans="1:8" x14ac:dyDescent="0.25">
      <c r="A323">
        <v>3</v>
      </c>
      <c r="B323">
        <v>367956</v>
      </c>
      <c r="C323" t="s">
        <v>5</v>
      </c>
      <c r="D323">
        <v>1055</v>
      </c>
      <c r="E323" s="11">
        <v>44166</v>
      </c>
      <c r="F323" s="38">
        <v>6330</v>
      </c>
      <c r="G323" s="38">
        <v>2901.25</v>
      </c>
      <c r="H323">
        <v>54.17</v>
      </c>
    </row>
    <row r="324" spans="1:8" x14ac:dyDescent="0.25">
      <c r="A324">
        <v>2</v>
      </c>
      <c r="B324">
        <v>644843</v>
      </c>
      <c r="C324" t="s">
        <v>1</v>
      </c>
      <c r="D324">
        <v>2109</v>
      </c>
      <c r="E324" s="11">
        <v>43952</v>
      </c>
      <c r="F324" s="38">
        <v>6327</v>
      </c>
      <c r="G324" s="38">
        <v>2636.25</v>
      </c>
      <c r="H324">
        <v>58.33</v>
      </c>
    </row>
    <row r="325" spans="1:8" x14ac:dyDescent="0.25">
      <c r="A325">
        <v>2</v>
      </c>
      <c r="B325">
        <v>203224</v>
      </c>
      <c r="C325" t="s">
        <v>2</v>
      </c>
      <c r="D325">
        <v>1580</v>
      </c>
      <c r="E325" s="11">
        <v>44075</v>
      </c>
      <c r="F325" s="38">
        <v>6320</v>
      </c>
      <c r="G325" s="38">
        <v>2370</v>
      </c>
      <c r="H325">
        <v>62.5</v>
      </c>
    </row>
    <row r="326" spans="1:8" x14ac:dyDescent="0.25">
      <c r="A326">
        <v>3</v>
      </c>
      <c r="B326">
        <v>428676</v>
      </c>
      <c r="C326" t="s">
        <v>3</v>
      </c>
      <c r="D326">
        <v>1259</v>
      </c>
      <c r="E326" s="11">
        <v>43922</v>
      </c>
      <c r="F326" s="38">
        <v>6295</v>
      </c>
      <c r="G326" s="38">
        <v>2518</v>
      </c>
      <c r="H326">
        <v>60</v>
      </c>
    </row>
    <row r="327" spans="1:8" x14ac:dyDescent="0.25">
      <c r="A327">
        <v>2</v>
      </c>
      <c r="B327">
        <v>295574</v>
      </c>
      <c r="C327" t="s">
        <v>2</v>
      </c>
      <c r="D327">
        <v>1563</v>
      </c>
      <c r="E327" s="11">
        <v>43952</v>
      </c>
      <c r="F327" s="38">
        <v>6252</v>
      </c>
      <c r="G327" s="38">
        <v>2344.5</v>
      </c>
      <c r="H327">
        <v>62.5</v>
      </c>
    </row>
    <row r="328" spans="1:8" x14ac:dyDescent="0.25">
      <c r="A328">
        <v>2</v>
      </c>
      <c r="B328">
        <v>707082</v>
      </c>
      <c r="C328" t="s">
        <v>4</v>
      </c>
      <c r="D328">
        <v>1250</v>
      </c>
      <c r="E328" s="11">
        <v>44166</v>
      </c>
      <c r="F328" s="38">
        <v>6250</v>
      </c>
      <c r="G328" s="38">
        <v>2750</v>
      </c>
      <c r="H328">
        <v>56</v>
      </c>
    </row>
    <row r="329" spans="1:8" x14ac:dyDescent="0.25">
      <c r="A329">
        <v>3</v>
      </c>
      <c r="B329">
        <v>374010</v>
      </c>
      <c r="C329" t="s">
        <v>3</v>
      </c>
      <c r="D329">
        <v>1249</v>
      </c>
      <c r="E329" s="11">
        <v>44105</v>
      </c>
      <c r="F329" s="38">
        <v>6245</v>
      </c>
      <c r="G329" s="38">
        <v>2498</v>
      </c>
      <c r="H329">
        <v>60</v>
      </c>
    </row>
    <row r="330" spans="1:8" x14ac:dyDescent="0.25">
      <c r="A330">
        <v>3</v>
      </c>
      <c r="B330">
        <v>607051</v>
      </c>
      <c r="C330" t="s">
        <v>2</v>
      </c>
      <c r="D330">
        <v>1560</v>
      </c>
      <c r="E330" s="11">
        <v>43770</v>
      </c>
      <c r="F330" s="38">
        <v>6240</v>
      </c>
      <c r="G330" s="38">
        <v>2340</v>
      </c>
      <c r="H330">
        <v>62.5</v>
      </c>
    </row>
    <row r="331" spans="1:8" x14ac:dyDescent="0.25">
      <c r="A331">
        <v>4</v>
      </c>
      <c r="B331">
        <v>234670</v>
      </c>
      <c r="C331" t="s">
        <v>5</v>
      </c>
      <c r="D331">
        <v>1033</v>
      </c>
      <c r="E331" s="11">
        <v>43800</v>
      </c>
      <c r="F331" s="38">
        <v>6198</v>
      </c>
      <c r="G331" s="38">
        <v>2840.75</v>
      </c>
      <c r="H331">
        <v>54.17</v>
      </c>
    </row>
    <row r="332" spans="1:8" x14ac:dyDescent="0.25">
      <c r="A332">
        <v>2</v>
      </c>
      <c r="B332">
        <v>734809</v>
      </c>
      <c r="C332" t="s">
        <v>4</v>
      </c>
      <c r="D332">
        <v>1236</v>
      </c>
      <c r="E332" s="11">
        <v>44136</v>
      </c>
      <c r="F332" s="38">
        <v>6180</v>
      </c>
      <c r="G332" s="38">
        <v>2719.2</v>
      </c>
      <c r="H332">
        <v>56</v>
      </c>
    </row>
    <row r="333" spans="1:8" x14ac:dyDescent="0.25">
      <c r="A333">
        <v>5</v>
      </c>
      <c r="B333">
        <v>514463</v>
      </c>
      <c r="C333" t="s">
        <v>3</v>
      </c>
      <c r="D333">
        <v>1233</v>
      </c>
      <c r="E333" s="11">
        <v>44166</v>
      </c>
      <c r="F333" s="38">
        <v>6165</v>
      </c>
      <c r="G333" s="38">
        <v>2466</v>
      </c>
      <c r="H333">
        <v>60</v>
      </c>
    </row>
    <row r="334" spans="1:8" x14ac:dyDescent="0.25">
      <c r="A334">
        <v>4</v>
      </c>
      <c r="B334">
        <v>495847</v>
      </c>
      <c r="C334" t="s">
        <v>2</v>
      </c>
      <c r="D334">
        <v>1540</v>
      </c>
      <c r="E334" s="11">
        <v>44044</v>
      </c>
      <c r="F334" s="38">
        <v>6160</v>
      </c>
      <c r="G334" s="38">
        <v>2310</v>
      </c>
      <c r="H334">
        <v>62.5</v>
      </c>
    </row>
    <row r="335" spans="1:8" x14ac:dyDescent="0.25">
      <c r="A335">
        <v>3</v>
      </c>
      <c r="B335">
        <v>697895</v>
      </c>
      <c r="C335" t="s">
        <v>3</v>
      </c>
      <c r="D335">
        <v>1228</v>
      </c>
      <c r="E335" s="11">
        <v>43739</v>
      </c>
      <c r="F335" s="38">
        <v>6140</v>
      </c>
      <c r="G335" s="38">
        <v>2456</v>
      </c>
      <c r="H335">
        <v>60</v>
      </c>
    </row>
    <row r="336" spans="1:8" x14ac:dyDescent="0.25">
      <c r="A336">
        <v>3</v>
      </c>
      <c r="B336">
        <v>117166</v>
      </c>
      <c r="C336" t="s">
        <v>4</v>
      </c>
      <c r="D336">
        <v>1228</v>
      </c>
      <c r="E336" s="11">
        <v>43739</v>
      </c>
      <c r="F336" s="38">
        <v>6140</v>
      </c>
      <c r="G336" s="38">
        <v>2701.6</v>
      </c>
      <c r="H336">
        <v>56</v>
      </c>
    </row>
    <row r="337" spans="1:8" x14ac:dyDescent="0.25">
      <c r="A337">
        <v>3</v>
      </c>
      <c r="B337">
        <v>171515</v>
      </c>
      <c r="C337" t="s">
        <v>3</v>
      </c>
      <c r="D337">
        <v>1227</v>
      </c>
      <c r="E337" s="11">
        <v>44105</v>
      </c>
      <c r="F337" s="38">
        <v>6135</v>
      </c>
      <c r="G337" s="38">
        <v>2454</v>
      </c>
      <c r="H337">
        <v>60</v>
      </c>
    </row>
    <row r="338" spans="1:8" x14ac:dyDescent="0.25">
      <c r="A338">
        <v>3</v>
      </c>
      <c r="B338">
        <v>758487</v>
      </c>
      <c r="C338" t="s">
        <v>5</v>
      </c>
      <c r="D338">
        <v>1013</v>
      </c>
      <c r="E338" s="11">
        <v>44166</v>
      </c>
      <c r="F338" s="38">
        <v>6078</v>
      </c>
      <c r="G338" s="38">
        <v>2785.75</v>
      </c>
      <c r="H338">
        <v>54.17</v>
      </c>
    </row>
    <row r="339" spans="1:8" x14ac:dyDescent="0.25">
      <c r="A339">
        <v>3</v>
      </c>
      <c r="B339">
        <v>199710</v>
      </c>
      <c r="C339" t="s">
        <v>2</v>
      </c>
      <c r="D339">
        <v>1513</v>
      </c>
      <c r="E339" s="11">
        <v>44136</v>
      </c>
      <c r="F339" s="38">
        <v>6052</v>
      </c>
      <c r="G339" s="38">
        <v>2269.5</v>
      </c>
      <c r="H339">
        <v>62.5</v>
      </c>
    </row>
    <row r="340" spans="1:8" x14ac:dyDescent="0.25">
      <c r="A340">
        <v>4</v>
      </c>
      <c r="B340">
        <v>682634</v>
      </c>
      <c r="C340" t="s">
        <v>2</v>
      </c>
      <c r="D340">
        <v>1513</v>
      </c>
      <c r="E340" s="11">
        <v>44166</v>
      </c>
      <c r="F340" s="38">
        <v>6052</v>
      </c>
      <c r="G340" s="38">
        <v>2269.5</v>
      </c>
      <c r="H340">
        <v>62.5</v>
      </c>
    </row>
    <row r="341" spans="1:8" x14ac:dyDescent="0.25">
      <c r="A341">
        <v>4</v>
      </c>
      <c r="B341">
        <v>552346</v>
      </c>
      <c r="C341" t="s">
        <v>5</v>
      </c>
      <c r="D341">
        <v>1006</v>
      </c>
      <c r="E341" s="11">
        <v>43983</v>
      </c>
      <c r="F341" s="38">
        <v>6036</v>
      </c>
      <c r="G341" s="38">
        <v>2766.5</v>
      </c>
      <c r="H341">
        <v>54.17</v>
      </c>
    </row>
    <row r="342" spans="1:8" x14ac:dyDescent="0.25">
      <c r="A342">
        <v>5</v>
      </c>
      <c r="B342">
        <v>263637</v>
      </c>
      <c r="C342" t="s">
        <v>5</v>
      </c>
      <c r="D342">
        <v>1001</v>
      </c>
      <c r="E342" s="11">
        <v>44044</v>
      </c>
      <c r="F342" s="38">
        <v>6006</v>
      </c>
      <c r="G342" s="38">
        <v>2752.75</v>
      </c>
      <c r="H342">
        <v>54.17</v>
      </c>
    </row>
    <row r="343" spans="1:8" x14ac:dyDescent="0.25">
      <c r="A343">
        <v>3</v>
      </c>
      <c r="B343">
        <v>793118</v>
      </c>
      <c r="C343" t="s">
        <v>1</v>
      </c>
      <c r="D343">
        <v>2001</v>
      </c>
      <c r="E343" s="11">
        <v>43862</v>
      </c>
      <c r="F343" s="38">
        <v>6003</v>
      </c>
      <c r="G343" s="38">
        <v>2501.25</v>
      </c>
      <c r="H343">
        <v>58.33</v>
      </c>
    </row>
    <row r="344" spans="1:8" x14ac:dyDescent="0.25">
      <c r="A344">
        <v>3</v>
      </c>
      <c r="B344">
        <v>294935</v>
      </c>
      <c r="C344" t="s">
        <v>3</v>
      </c>
      <c r="D344">
        <v>1198</v>
      </c>
      <c r="E344" s="11">
        <v>43739</v>
      </c>
      <c r="F344" s="38">
        <v>5990</v>
      </c>
      <c r="G344" s="38">
        <v>2396</v>
      </c>
      <c r="H344">
        <v>60</v>
      </c>
    </row>
    <row r="345" spans="1:8" x14ac:dyDescent="0.25">
      <c r="A345">
        <v>3</v>
      </c>
      <c r="B345">
        <v>582048</v>
      </c>
      <c r="C345" t="s">
        <v>3</v>
      </c>
      <c r="D345">
        <v>1197</v>
      </c>
      <c r="E345" s="11">
        <v>44136</v>
      </c>
      <c r="F345" s="38">
        <v>5985</v>
      </c>
      <c r="G345" s="38">
        <v>2394</v>
      </c>
      <c r="H345">
        <v>60</v>
      </c>
    </row>
    <row r="346" spans="1:8" x14ac:dyDescent="0.25">
      <c r="A346">
        <v>2</v>
      </c>
      <c r="B346">
        <v>289035</v>
      </c>
      <c r="C346" t="s">
        <v>2</v>
      </c>
      <c r="D346">
        <v>1496</v>
      </c>
      <c r="E346" s="11">
        <v>44105</v>
      </c>
      <c r="F346" s="38">
        <v>5984</v>
      </c>
      <c r="G346" s="38">
        <v>2244</v>
      </c>
      <c r="H346">
        <v>62.5</v>
      </c>
    </row>
    <row r="347" spans="1:8" x14ac:dyDescent="0.25">
      <c r="A347">
        <v>3</v>
      </c>
      <c r="B347">
        <v>479703</v>
      </c>
      <c r="C347" t="s">
        <v>4</v>
      </c>
      <c r="D347">
        <v>1190</v>
      </c>
      <c r="E347" s="11">
        <v>43983</v>
      </c>
      <c r="F347" s="38">
        <v>5950</v>
      </c>
      <c r="G347" s="38">
        <v>2618</v>
      </c>
      <c r="H347">
        <v>56</v>
      </c>
    </row>
    <row r="348" spans="1:8" x14ac:dyDescent="0.25">
      <c r="A348">
        <v>3</v>
      </c>
      <c r="B348">
        <v>788517</v>
      </c>
      <c r="C348" t="s">
        <v>2</v>
      </c>
      <c r="D348">
        <v>1482</v>
      </c>
      <c r="E348" s="11">
        <v>43800</v>
      </c>
      <c r="F348" s="38">
        <v>5928</v>
      </c>
      <c r="G348" s="38">
        <v>2223</v>
      </c>
      <c r="H348">
        <v>62.5</v>
      </c>
    </row>
    <row r="349" spans="1:8" x14ac:dyDescent="0.25">
      <c r="A349">
        <v>2</v>
      </c>
      <c r="B349">
        <v>382008</v>
      </c>
      <c r="C349" t="s">
        <v>5</v>
      </c>
      <c r="D349">
        <v>986</v>
      </c>
      <c r="E349" s="11">
        <v>44105</v>
      </c>
      <c r="F349" s="38">
        <v>5916</v>
      </c>
      <c r="G349" s="38">
        <v>2711.5</v>
      </c>
      <c r="H349">
        <v>54.17</v>
      </c>
    </row>
    <row r="350" spans="1:8" x14ac:dyDescent="0.25">
      <c r="A350">
        <v>3</v>
      </c>
      <c r="B350">
        <v>763666</v>
      </c>
      <c r="C350" t="s">
        <v>3</v>
      </c>
      <c r="D350">
        <v>1177</v>
      </c>
      <c r="E350" s="11">
        <v>44136</v>
      </c>
      <c r="F350" s="38">
        <v>5885</v>
      </c>
      <c r="G350" s="38">
        <v>2354</v>
      </c>
      <c r="H350">
        <v>60</v>
      </c>
    </row>
    <row r="351" spans="1:8" x14ac:dyDescent="0.25">
      <c r="A351">
        <v>2</v>
      </c>
      <c r="B351">
        <v>837170</v>
      </c>
      <c r="C351" t="s">
        <v>3</v>
      </c>
      <c r="D351">
        <v>1175</v>
      </c>
      <c r="E351" s="11">
        <v>44105</v>
      </c>
      <c r="F351" s="38">
        <v>5875</v>
      </c>
      <c r="G351" s="38">
        <v>2350</v>
      </c>
      <c r="H351">
        <v>60</v>
      </c>
    </row>
    <row r="352" spans="1:8" x14ac:dyDescent="0.25">
      <c r="A352">
        <v>2</v>
      </c>
      <c r="B352">
        <v>462436</v>
      </c>
      <c r="C352" t="s">
        <v>1</v>
      </c>
      <c r="D352">
        <v>1956</v>
      </c>
      <c r="E352" s="11">
        <v>43831</v>
      </c>
      <c r="F352" s="38">
        <v>5868</v>
      </c>
      <c r="G352" s="38">
        <v>2445</v>
      </c>
      <c r="H352">
        <v>58.33</v>
      </c>
    </row>
    <row r="353" spans="1:8" x14ac:dyDescent="0.25">
      <c r="A353">
        <v>4</v>
      </c>
      <c r="B353">
        <v>623371</v>
      </c>
      <c r="C353" t="s">
        <v>1</v>
      </c>
      <c r="D353">
        <v>1945</v>
      </c>
      <c r="E353" s="11">
        <v>43739</v>
      </c>
      <c r="F353" s="38">
        <v>5835</v>
      </c>
      <c r="G353" s="38">
        <v>2431.25</v>
      </c>
      <c r="H353">
        <v>58.33</v>
      </c>
    </row>
    <row r="354" spans="1:8" x14ac:dyDescent="0.25">
      <c r="A354">
        <v>2</v>
      </c>
      <c r="B354">
        <v>434482</v>
      </c>
      <c r="C354" t="s">
        <v>1</v>
      </c>
      <c r="D354">
        <v>1940</v>
      </c>
      <c r="E354" s="11">
        <v>43800</v>
      </c>
      <c r="F354" s="38">
        <v>5820</v>
      </c>
      <c r="G354" s="38">
        <v>2425</v>
      </c>
      <c r="H354">
        <v>58.33</v>
      </c>
    </row>
    <row r="355" spans="1:8" x14ac:dyDescent="0.25">
      <c r="A355">
        <v>3</v>
      </c>
      <c r="B355">
        <v>151329</v>
      </c>
      <c r="C355" t="s">
        <v>4</v>
      </c>
      <c r="D355">
        <v>1159</v>
      </c>
      <c r="E355" s="11">
        <v>43739</v>
      </c>
      <c r="F355" s="38">
        <v>5795</v>
      </c>
      <c r="G355" s="38">
        <v>2549.8000000000002</v>
      </c>
      <c r="H355">
        <v>56</v>
      </c>
    </row>
    <row r="356" spans="1:8" x14ac:dyDescent="0.25">
      <c r="A356">
        <v>4</v>
      </c>
      <c r="B356">
        <v>690780</v>
      </c>
      <c r="C356" t="s">
        <v>3</v>
      </c>
      <c r="D356">
        <v>1158</v>
      </c>
      <c r="E356" s="11">
        <v>43891</v>
      </c>
      <c r="F356" s="38">
        <v>5790</v>
      </c>
      <c r="G356" s="38">
        <v>2316</v>
      </c>
      <c r="H356">
        <v>60</v>
      </c>
    </row>
    <row r="357" spans="1:8" x14ac:dyDescent="0.25">
      <c r="A357">
        <v>4</v>
      </c>
      <c r="B357">
        <v>869055</v>
      </c>
      <c r="C357" t="s">
        <v>2</v>
      </c>
      <c r="D357">
        <v>1445</v>
      </c>
      <c r="E357" s="11">
        <v>44075</v>
      </c>
      <c r="F357" s="38">
        <v>5780</v>
      </c>
      <c r="G357" s="38">
        <v>2167.5</v>
      </c>
      <c r="H357">
        <v>62.5</v>
      </c>
    </row>
    <row r="358" spans="1:8" x14ac:dyDescent="0.25">
      <c r="A358">
        <v>2</v>
      </c>
      <c r="B358">
        <v>203608</v>
      </c>
      <c r="C358" t="s">
        <v>3</v>
      </c>
      <c r="D358">
        <v>1153</v>
      </c>
      <c r="E358" s="11">
        <v>44105</v>
      </c>
      <c r="F358" s="38">
        <v>5765</v>
      </c>
      <c r="G358" s="38">
        <v>2306</v>
      </c>
      <c r="H358">
        <v>60</v>
      </c>
    </row>
    <row r="359" spans="1:8" x14ac:dyDescent="0.25">
      <c r="A359">
        <v>3</v>
      </c>
      <c r="B359">
        <v>703612</v>
      </c>
      <c r="C359" t="s">
        <v>1</v>
      </c>
      <c r="D359">
        <v>1916</v>
      </c>
      <c r="E359" s="11">
        <v>43922</v>
      </c>
      <c r="F359" s="38">
        <v>5748</v>
      </c>
      <c r="G359" s="38">
        <v>2395</v>
      </c>
      <c r="H359">
        <v>58.33</v>
      </c>
    </row>
    <row r="360" spans="1:8" x14ac:dyDescent="0.25">
      <c r="A360">
        <v>2</v>
      </c>
      <c r="B360">
        <v>308620</v>
      </c>
      <c r="C360" t="s">
        <v>3</v>
      </c>
      <c r="D360">
        <v>1143</v>
      </c>
      <c r="E360" s="11">
        <v>44105</v>
      </c>
      <c r="F360" s="38">
        <v>5715</v>
      </c>
      <c r="G360" s="38">
        <v>2286</v>
      </c>
      <c r="H360">
        <v>60</v>
      </c>
    </row>
    <row r="361" spans="1:8" x14ac:dyDescent="0.25">
      <c r="A361">
        <v>3</v>
      </c>
      <c r="B361">
        <v>170867</v>
      </c>
      <c r="C361" t="s">
        <v>4</v>
      </c>
      <c r="D361">
        <v>1143</v>
      </c>
      <c r="E361" s="11">
        <v>44105</v>
      </c>
      <c r="F361" s="38">
        <v>5715</v>
      </c>
      <c r="G361" s="38">
        <v>2514.6</v>
      </c>
      <c r="H361">
        <v>56</v>
      </c>
    </row>
    <row r="362" spans="1:8" x14ac:dyDescent="0.25">
      <c r="A362">
        <v>4</v>
      </c>
      <c r="B362">
        <v>730844</v>
      </c>
      <c r="C362" t="s">
        <v>5</v>
      </c>
      <c r="D362">
        <v>952</v>
      </c>
      <c r="E362" s="11">
        <v>43862</v>
      </c>
      <c r="F362" s="38">
        <v>5712</v>
      </c>
      <c r="G362" s="38">
        <v>2618</v>
      </c>
      <c r="H362">
        <v>54.17</v>
      </c>
    </row>
    <row r="363" spans="1:8" x14ac:dyDescent="0.25">
      <c r="A363">
        <v>1</v>
      </c>
      <c r="B363">
        <v>234290</v>
      </c>
      <c r="C363" t="s">
        <v>3</v>
      </c>
      <c r="D363">
        <v>1142</v>
      </c>
      <c r="E363" s="11">
        <v>43983</v>
      </c>
      <c r="F363" s="38">
        <v>5710</v>
      </c>
      <c r="G363" s="38">
        <v>2284</v>
      </c>
      <c r="H363">
        <v>60</v>
      </c>
    </row>
    <row r="364" spans="1:8" x14ac:dyDescent="0.25">
      <c r="A364">
        <v>3</v>
      </c>
      <c r="B364">
        <v>697568</v>
      </c>
      <c r="C364" t="s">
        <v>3</v>
      </c>
      <c r="D364">
        <v>1138</v>
      </c>
      <c r="E364" s="11">
        <v>44166</v>
      </c>
      <c r="F364" s="38">
        <v>5690</v>
      </c>
      <c r="G364" s="38">
        <v>2276</v>
      </c>
      <c r="H364">
        <v>60</v>
      </c>
    </row>
    <row r="365" spans="1:8" x14ac:dyDescent="0.25">
      <c r="A365">
        <v>5</v>
      </c>
      <c r="B365">
        <v>691342</v>
      </c>
      <c r="C365" t="s">
        <v>4</v>
      </c>
      <c r="D365">
        <v>1135</v>
      </c>
      <c r="E365" s="11">
        <v>43983</v>
      </c>
      <c r="F365" s="38">
        <v>5675</v>
      </c>
      <c r="G365" s="38">
        <v>2497</v>
      </c>
      <c r="H365">
        <v>56</v>
      </c>
    </row>
    <row r="366" spans="1:8" x14ac:dyDescent="0.25">
      <c r="A366">
        <v>2</v>
      </c>
      <c r="B366">
        <v>149767</v>
      </c>
      <c r="C366" t="s">
        <v>1</v>
      </c>
      <c r="D366">
        <v>1874</v>
      </c>
      <c r="E366" s="11">
        <v>44044</v>
      </c>
      <c r="F366" s="38">
        <v>5622</v>
      </c>
      <c r="G366" s="38">
        <v>2342.5</v>
      </c>
      <c r="H366">
        <v>58.33</v>
      </c>
    </row>
    <row r="367" spans="1:8" x14ac:dyDescent="0.25">
      <c r="A367">
        <v>2</v>
      </c>
      <c r="B367">
        <v>898591</v>
      </c>
      <c r="C367" t="s">
        <v>3</v>
      </c>
      <c r="D367">
        <v>1123</v>
      </c>
      <c r="E367" s="11">
        <v>43709</v>
      </c>
      <c r="F367" s="38">
        <v>5615</v>
      </c>
      <c r="G367" s="38">
        <v>2246</v>
      </c>
      <c r="H367">
        <v>60</v>
      </c>
    </row>
    <row r="368" spans="1:8" x14ac:dyDescent="0.25">
      <c r="A368">
        <v>2</v>
      </c>
      <c r="B368">
        <v>304458</v>
      </c>
      <c r="C368" t="s">
        <v>4</v>
      </c>
      <c r="D368">
        <v>1123</v>
      </c>
      <c r="E368" s="11">
        <v>44044</v>
      </c>
      <c r="F368" s="38">
        <v>5615</v>
      </c>
      <c r="G368" s="38">
        <v>2470.6</v>
      </c>
      <c r="H368">
        <v>56</v>
      </c>
    </row>
    <row r="369" spans="1:8" x14ac:dyDescent="0.25">
      <c r="A369">
        <v>2</v>
      </c>
      <c r="B369">
        <v>366080</v>
      </c>
      <c r="C369" t="s">
        <v>1</v>
      </c>
      <c r="D369">
        <v>1870</v>
      </c>
      <c r="E369" s="11">
        <v>43800</v>
      </c>
      <c r="F369" s="38">
        <v>5610</v>
      </c>
      <c r="G369" s="38">
        <v>2337.5</v>
      </c>
      <c r="H369">
        <v>58.33</v>
      </c>
    </row>
    <row r="370" spans="1:8" x14ac:dyDescent="0.25">
      <c r="A370">
        <v>3</v>
      </c>
      <c r="B370">
        <v>667288</v>
      </c>
      <c r="C370" t="s">
        <v>3</v>
      </c>
      <c r="D370">
        <v>1122</v>
      </c>
      <c r="E370" s="11">
        <v>43891</v>
      </c>
      <c r="F370" s="38">
        <v>5610</v>
      </c>
      <c r="G370" s="38">
        <v>2244</v>
      </c>
      <c r="H370">
        <v>60</v>
      </c>
    </row>
    <row r="371" spans="1:8" x14ac:dyDescent="0.25">
      <c r="A371">
        <v>2</v>
      </c>
      <c r="B371">
        <v>390355</v>
      </c>
      <c r="C371" t="s">
        <v>1</v>
      </c>
      <c r="D371">
        <v>1867</v>
      </c>
      <c r="E371" s="11">
        <v>44075</v>
      </c>
      <c r="F371" s="38">
        <v>5601</v>
      </c>
      <c r="G371" s="38">
        <v>2333.75</v>
      </c>
      <c r="H371">
        <v>58.33</v>
      </c>
    </row>
    <row r="372" spans="1:8" x14ac:dyDescent="0.25">
      <c r="A372">
        <v>2</v>
      </c>
      <c r="B372">
        <v>653226</v>
      </c>
      <c r="C372" t="s">
        <v>4</v>
      </c>
      <c r="D372">
        <v>1118</v>
      </c>
      <c r="E372" s="11">
        <v>44136</v>
      </c>
      <c r="F372" s="38">
        <v>5590</v>
      </c>
      <c r="G372" s="38">
        <v>2459.6</v>
      </c>
      <c r="H372">
        <v>56</v>
      </c>
    </row>
    <row r="373" spans="1:8" x14ac:dyDescent="0.25">
      <c r="A373">
        <v>4</v>
      </c>
      <c r="B373">
        <v>128044</v>
      </c>
      <c r="C373" t="s">
        <v>2</v>
      </c>
      <c r="D373">
        <v>1397</v>
      </c>
      <c r="E373" s="11">
        <v>44105</v>
      </c>
      <c r="F373" s="38">
        <v>5588</v>
      </c>
      <c r="G373" s="38">
        <v>2095.5</v>
      </c>
      <c r="H373">
        <v>62.5</v>
      </c>
    </row>
    <row r="374" spans="1:8" x14ac:dyDescent="0.25">
      <c r="A374">
        <v>4</v>
      </c>
      <c r="B374">
        <v>686090</v>
      </c>
      <c r="C374" t="s">
        <v>3</v>
      </c>
      <c r="D374">
        <v>1114</v>
      </c>
      <c r="E374" s="11">
        <v>43891</v>
      </c>
      <c r="F374" s="38">
        <v>5570</v>
      </c>
      <c r="G374" s="38">
        <v>2228</v>
      </c>
      <c r="H374">
        <v>60</v>
      </c>
    </row>
    <row r="375" spans="1:8" x14ac:dyDescent="0.25">
      <c r="A375">
        <v>1</v>
      </c>
      <c r="B375">
        <v>265959</v>
      </c>
      <c r="C375" t="s">
        <v>5</v>
      </c>
      <c r="D375">
        <v>923</v>
      </c>
      <c r="E375" s="11">
        <v>44044</v>
      </c>
      <c r="F375" s="38">
        <v>5538</v>
      </c>
      <c r="G375" s="38">
        <v>2538.25</v>
      </c>
      <c r="H375">
        <v>54.17</v>
      </c>
    </row>
    <row r="376" spans="1:8" x14ac:dyDescent="0.25">
      <c r="A376">
        <v>3</v>
      </c>
      <c r="B376">
        <v>604462</v>
      </c>
      <c r="C376" t="s">
        <v>4</v>
      </c>
      <c r="D376">
        <v>1101</v>
      </c>
      <c r="E376" s="11">
        <v>43891</v>
      </c>
      <c r="F376" s="38">
        <v>5505</v>
      </c>
      <c r="G376" s="38">
        <v>2422.1999999999998</v>
      </c>
      <c r="H376">
        <v>56</v>
      </c>
    </row>
    <row r="377" spans="1:8" x14ac:dyDescent="0.25">
      <c r="A377">
        <v>4</v>
      </c>
      <c r="B377">
        <v>414628</v>
      </c>
      <c r="C377" t="s">
        <v>5</v>
      </c>
      <c r="D377">
        <v>914</v>
      </c>
      <c r="E377" s="11">
        <v>44166</v>
      </c>
      <c r="F377" s="38">
        <v>5484</v>
      </c>
      <c r="G377" s="38">
        <v>2513.5</v>
      </c>
      <c r="H377">
        <v>54.17</v>
      </c>
    </row>
    <row r="378" spans="1:8" x14ac:dyDescent="0.25">
      <c r="A378">
        <v>5</v>
      </c>
      <c r="B378">
        <v>278950</v>
      </c>
      <c r="C378" t="s">
        <v>3</v>
      </c>
      <c r="D378">
        <v>1095</v>
      </c>
      <c r="E378" s="11">
        <v>43952</v>
      </c>
      <c r="F378" s="38">
        <v>5475</v>
      </c>
      <c r="G378" s="38">
        <v>2190</v>
      </c>
      <c r="H378">
        <v>60</v>
      </c>
    </row>
    <row r="379" spans="1:8" x14ac:dyDescent="0.25">
      <c r="A379">
        <v>5</v>
      </c>
      <c r="B379">
        <v>529578</v>
      </c>
      <c r="C379" t="s">
        <v>3</v>
      </c>
      <c r="D379">
        <v>1094</v>
      </c>
      <c r="E379" s="11">
        <v>43983</v>
      </c>
      <c r="F379" s="38">
        <v>5470</v>
      </c>
      <c r="G379" s="38">
        <v>2188</v>
      </c>
      <c r="H379">
        <v>60</v>
      </c>
    </row>
    <row r="380" spans="1:8" x14ac:dyDescent="0.25">
      <c r="A380">
        <v>4</v>
      </c>
      <c r="B380">
        <v>745887</v>
      </c>
      <c r="C380" t="s">
        <v>1</v>
      </c>
      <c r="D380">
        <v>1817</v>
      </c>
      <c r="E380" s="11">
        <v>44166</v>
      </c>
      <c r="F380" s="38">
        <v>5451</v>
      </c>
      <c r="G380" s="38">
        <v>2271.25</v>
      </c>
      <c r="H380">
        <v>58.33</v>
      </c>
    </row>
    <row r="381" spans="1:8" x14ac:dyDescent="0.25">
      <c r="A381">
        <v>4</v>
      </c>
      <c r="B381">
        <v>702657</v>
      </c>
      <c r="C381" t="s">
        <v>2</v>
      </c>
      <c r="D381">
        <v>1362</v>
      </c>
      <c r="E381" s="11">
        <v>44166</v>
      </c>
      <c r="F381" s="38">
        <v>5448</v>
      </c>
      <c r="G381" s="38">
        <v>2043</v>
      </c>
      <c r="H381">
        <v>62.5</v>
      </c>
    </row>
    <row r="382" spans="1:8" x14ac:dyDescent="0.25">
      <c r="A382">
        <v>3</v>
      </c>
      <c r="B382">
        <v>234667</v>
      </c>
      <c r="C382" t="s">
        <v>5</v>
      </c>
      <c r="D382">
        <v>905</v>
      </c>
      <c r="E382" s="11">
        <v>44105</v>
      </c>
      <c r="F382" s="38">
        <v>5430</v>
      </c>
      <c r="G382" s="38">
        <v>2488.75</v>
      </c>
      <c r="H382">
        <v>54.17</v>
      </c>
    </row>
    <row r="383" spans="1:8" x14ac:dyDescent="0.25">
      <c r="A383">
        <v>2</v>
      </c>
      <c r="B383">
        <v>332447</v>
      </c>
      <c r="C383" t="s">
        <v>3</v>
      </c>
      <c r="D383">
        <v>1085</v>
      </c>
      <c r="E383" s="11">
        <v>44105</v>
      </c>
      <c r="F383" s="38">
        <v>5425</v>
      </c>
      <c r="G383" s="38">
        <v>2170</v>
      </c>
      <c r="H383">
        <v>60</v>
      </c>
    </row>
    <row r="384" spans="1:8" x14ac:dyDescent="0.25">
      <c r="A384">
        <v>3</v>
      </c>
      <c r="B384">
        <v>300303</v>
      </c>
      <c r="C384" t="s">
        <v>3</v>
      </c>
      <c r="D384">
        <v>1084</v>
      </c>
      <c r="E384" s="11">
        <v>44166</v>
      </c>
      <c r="F384" s="38">
        <v>5420</v>
      </c>
      <c r="G384" s="38">
        <v>2168</v>
      </c>
      <c r="H384">
        <v>60</v>
      </c>
    </row>
    <row r="385" spans="1:8" x14ac:dyDescent="0.25">
      <c r="A385">
        <v>3</v>
      </c>
      <c r="B385">
        <v>559561</v>
      </c>
      <c r="C385" t="s">
        <v>1</v>
      </c>
      <c r="D385">
        <v>1806</v>
      </c>
      <c r="E385" s="11">
        <v>43952</v>
      </c>
      <c r="F385" s="38">
        <v>5418</v>
      </c>
      <c r="G385" s="38">
        <v>2257.5</v>
      </c>
      <c r="H385">
        <v>58.33</v>
      </c>
    </row>
    <row r="386" spans="1:8" x14ac:dyDescent="0.25">
      <c r="A386">
        <v>4</v>
      </c>
      <c r="B386">
        <v>558408</v>
      </c>
      <c r="C386" t="s">
        <v>4</v>
      </c>
      <c r="D386">
        <v>1074</v>
      </c>
      <c r="E386" s="11">
        <v>43922</v>
      </c>
      <c r="F386" s="38">
        <v>5370</v>
      </c>
      <c r="G386" s="38">
        <v>2362.8000000000002</v>
      </c>
      <c r="H386">
        <v>56</v>
      </c>
    </row>
    <row r="387" spans="1:8" x14ac:dyDescent="0.25">
      <c r="A387">
        <v>4</v>
      </c>
      <c r="B387">
        <v>858867</v>
      </c>
      <c r="C387" t="s">
        <v>2</v>
      </c>
      <c r="D387">
        <v>1321</v>
      </c>
      <c r="E387" s="11">
        <v>43831</v>
      </c>
      <c r="F387" s="38">
        <v>5284</v>
      </c>
      <c r="G387" s="38">
        <v>1981.5</v>
      </c>
      <c r="H387">
        <v>62.5</v>
      </c>
    </row>
    <row r="388" spans="1:8" x14ac:dyDescent="0.25">
      <c r="A388">
        <v>5</v>
      </c>
      <c r="B388">
        <v>436748</v>
      </c>
      <c r="C388" t="s">
        <v>3</v>
      </c>
      <c r="D388">
        <v>1056</v>
      </c>
      <c r="E388" s="11">
        <v>44075</v>
      </c>
      <c r="F388" s="38">
        <v>5280</v>
      </c>
      <c r="G388" s="38">
        <v>2112</v>
      </c>
      <c r="H388">
        <v>60</v>
      </c>
    </row>
    <row r="389" spans="1:8" x14ac:dyDescent="0.25">
      <c r="A389">
        <v>5</v>
      </c>
      <c r="B389">
        <v>531834</v>
      </c>
      <c r="C389" t="s">
        <v>3</v>
      </c>
      <c r="D389">
        <v>1055</v>
      </c>
      <c r="E389" s="11">
        <v>44166</v>
      </c>
      <c r="F389" s="38">
        <v>5275</v>
      </c>
      <c r="G389" s="38">
        <v>2110</v>
      </c>
      <c r="H389">
        <v>60</v>
      </c>
    </row>
    <row r="390" spans="1:8" x14ac:dyDescent="0.25">
      <c r="A390">
        <v>5</v>
      </c>
      <c r="B390">
        <v>275167</v>
      </c>
      <c r="C390" t="s">
        <v>1</v>
      </c>
      <c r="D390">
        <v>1744</v>
      </c>
      <c r="E390" s="11">
        <v>44136</v>
      </c>
      <c r="F390" s="38">
        <v>5232</v>
      </c>
      <c r="G390" s="38">
        <v>2180</v>
      </c>
      <c r="H390">
        <v>58.33</v>
      </c>
    </row>
    <row r="391" spans="1:8" x14ac:dyDescent="0.25">
      <c r="A391">
        <v>2</v>
      </c>
      <c r="B391">
        <v>361541</v>
      </c>
      <c r="C391" t="s">
        <v>1</v>
      </c>
      <c r="D391">
        <v>1739</v>
      </c>
      <c r="E391" s="11">
        <v>43922</v>
      </c>
      <c r="F391" s="38">
        <v>5215.5</v>
      </c>
      <c r="G391" s="38">
        <v>2173.13</v>
      </c>
      <c r="H391">
        <v>58.33</v>
      </c>
    </row>
    <row r="392" spans="1:8" x14ac:dyDescent="0.25">
      <c r="A392">
        <v>2</v>
      </c>
      <c r="B392">
        <v>153144</v>
      </c>
      <c r="C392" t="s">
        <v>1</v>
      </c>
      <c r="D392">
        <v>1734</v>
      </c>
      <c r="E392" s="11">
        <v>43831</v>
      </c>
      <c r="F392" s="38">
        <v>5202</v>
      </c>
      <c r="G392" s="38">
        <v>2167.5</v>
      </c>
      <c r="H392">
        <v>58.33</v>
      </c>
    </row>
    <row r="393" spans="1:8" x14ac:dyDescent="0.25">
      <c r="A393">
        <v>3</v>
      </c>
      <c r="B393">
        <v>842675</v>
      </c>
      <c r="C393" t="s">
        <v>4</v>
      </c>
      <c r="D393">
        <v>1038</v>
      </c>
      <c r="E393" s="11">
        <v>43983</v>
      </c>
      <c r="F393" s="38">
        <v>5190</v>
      </c>
      <c r="G393" s="38">
        <v>2283.6</v>
      </c>
      <c r="H393">
        <v>56</v>
      </c>
    </row>
    <row r="394" spans="1:8" x14ac:dyDescent="0.25">
      <c r="A394">
        <v>4</v>
      </c>
      <c r="B394">
        <v>429472</v>
      </c>
      <c r="C394" t="s">
        <v>3</v>
      </c>
      <c r="D394">
        <v>1038</v>
      </c>
      <c r="E394" s="11">
        <v>43983</v>
      </c>
      <c r="F394" s="38">
        <v>5190</v>
      </c>
      <c r="G394" s="38">
        <v>2076</v>
      </c>
      <c r="H394">
        <v>60</v>
      </c>
    </row>
    <row r="395" spans="1:8" x14ac:dyDescent="0.25">
      <c r="A395">
        <v>4</v>
      </c>
      <c r="B395">
        <v>601636</v>
      </c>
      <c r="C395" t="s">
        <v>2</v>
      </c>
      <c r="D395">
        <v>1295</v>
      </c>
      <c r="E395" s="11">
        <v>44105</v>
      </c>
      <c r="F395" s="38">
        <v>5180</v>
      </c>
      <c r="G395" s="38">
        <v>1942.5</v>
      </c>
      <c r="H395">
        <v>62.5</v>
      </c>
    </row>
    <row r="396" spans="1:8" x14ac:dyDescent="0.25">
      <c r="A396">
        <v>4</v>
      </c>
      <c r="B396">
        <v>304806</v>
      </c>
      <c r="C396" t="s">
        <v>5</v>
      </c>
      <c r="D396">
        <v>861</v>
      </c>
      <c r="E396" s="11">
        <v>44105</v>
      </c>
      <c r="F396" s="38">
        <v>5166</v>
      </c>
      <c r="G396" s="38">
        <v>2367.75</v>
      </c>
      <c r="H396">
        <v>54.17</v>
      </c>
    </row>
    <row r="397" spans="1:8" x14ac:dyDescent="0.25">
      <c r="A397">
        <v>1</v>
      </c>
      <c r="B397">
        <v>142979</v>
      </c>
      <c r="C397" t="s">
        <v>3</v>
      </c>
      <c r="D397">
        <v>1031</v>
      </c>
      <c r="E397" s="11">
        <v>43709</v>
      </c>
      <c r="F397" s="38">
        <v>5155</v>
      </c>
      <c r="G397" s="38">
        <v>2062</v>
      </c>
      <c r="H397">
        <v>60</v>
      </c>
    </row>
    <row r="398" spans="1:8" x14ac:dyDescent="0.25">
      <c r="A398">
        <v>3</v>
      </c>
      <c r="B398">
        <v>600124</v>
      </c>
      <c r="C398" t="s">
        <v>3</v>
      </c>
      <c r="D398">
        <v>1030</v>
      </c>
      <c r="E398" s="11">
        <v>43952</v>
      </c>
      <c r="F398" s="38">
        <v>5150</v>
      </c>
      <c r="G398" s="38">
        <v>2060</v>
      </c>
      <c r="H398">
        <v>60</v>
      </c>
    </row>
    <row r="399" spans="1:8" x14ac:dyDescent="0.25">
      <c r="A399">
        <v>1</v>
      </c>
      <c r="B399">
        <v>428131</v>
      </c>
      <c r="C399" t="s">
        <v>5</v>
      </c>
      <c r="D399">
        <v>853</v>
      </c>
      <c r="E399" s="11">
        <v>44166</v>
      </c>
      <c r="F399" s="38">
        <v>5118</v>
      </c>
      <c r="G399" s="38">
        <v>2345.75</v>
      </c>
      <c r="H399">
        <v>54.17</v>
      </c>
    </row>
    <row r="400" spans="1:8" x14ac:dyDescent="0.25">
      <c r="A400">
        <v>4</v>
      </c>
      <c r="B400">
        <v>721092</v>
      </c>
      <c r="C400" t="s">
        <v>3</v>
      </c>
      <c r="D400">
        <v>1013</v>
      </c>
      <c r="E400" s="11">
        <v>44166</v>
      </c>
      <c r="F400" s="38">
        <v>5065</v>
      </c>
      <c r="G400" s="38">
        <v>2026</v>
      </c>
      <c r="H400">
        <v>60</v>
      </c>
    </row>
    <row r="401" spans="1:8" x14ac:dyDescent="0.25">
      <c r="A401">
        <v>4</v>
      </c>
      <c r="B401">
        <v>640447</v>
      </c>
      <c r="C401" t="s">
        <v>3</v>
      </c>
      <c r="D401">
        <v>1006</v>
      </c>
      <c r="E401" s="11">
        <v>43983</v>
      </c>
      <c r="F401" s="38">
        <v>5030</v>
      </c>
      <c r="G401" s="38">
        <v>2012</v>
      </c>
      <c r="H401">
        <v>60</v>
      </c>
    </row>
    <row r="402" spans="1:8" x14ac:dyDescent="0.25">
      <c r="A402">
        <v>3</v>
      </c>
      <c r="B402">
        <v>766207</v>
      </c>
      <c r="C402" t="s">
        <v>4</v>
      </c>
      <c r="D402">
        <v>994</v>
      </c>
      <c r="E402" s="11">
        <v>43709</v>
      </c>
      <c r="F402" s="38">
        <v>4970</v>
      </c>
      <c r="G402" s="38">
        <v>2186.8000000000002</v>
      </c>
      <c r="H402">
        <v>56</v>
      </c>
    </row>
    <row r="403" spans="1:8" x14ac:dyDescent="0.25">
      <c r="A403">
        <v>4</v>
      </c>
      <c r="B403">
        <v>560581</v>
      </c>
      <c r="C403" t="s">
        <v>3</v>
      </c>
      <c r="D403">
        <v>991</v>
      </c>
      <c r="E403" s="11">
        <v>43983</v>
      </c>
      <c r="F403" s="38">
        <v>4955</v>
      </c>
      <c r="G403" s="38">
        <v>1982</v>
      </c>
      <c r="H403">
        <v>60</v>
      </c>
    </row>
    <row r="404" spans="1:8" x14ac:dyDescent="0.25">
      <c r="A404">
        <v>4</v>
      </c>
      <c r="B404">
        <v>108848</v>
      </c>
      <c r="C404" t="s">
        <v>1</v>
      </c>
      <c r="D404">
        <v>1642</v>
      </c>
      <c r="E404" s="11">
        <v>44044</v>
      </c>
      <c r="F404" s="38">
        <v>4926</v>
      </c>
      <c r="G404" s="38">
        <v>2052.5</v>
      </c>
      <c r="H404">
        <v>58.33</v>
      </c>
    </row>
    <row r="405" spans="1:8" x14ac:dyDescent="0.25">
      <c r="A405">
        <v>3</v>
      </c>
      <c r="B405">
        <v>140794</v>
      </c>
      <c r="C405" t="s">
        <v>3</v>
      </c>
      <c r="D405">
        <v>974</v>
      </c>
      <c r="E405" s="11">
        <v>43862</v>
      </c>
      <c r="F405" s="38">
        <v>4870</v>
      </c>
      <c r="G405" s="38">
        <v>1948</v>
      </c>
      <c r="H405">
        <v>60</v>
      </c>
    </row>
    <row r="406" spans="1:8" x14ac:dyDescent="0.25">
      <c r="A406">
        <v>5</v>
      </c>
      <c r="B406">
        <v>123431</v>
      </c>
      <c r="C406" t="s">
        <v>3</v>
      </c>
      <c r="D406">
        <v>973</v>
      </c>
      <c r="E406" s="11">
        <v>43891</v>
      </c>
      <c r="F406" s="38">
        <v>4865</v>
      </c>
      <c r="G406" s="38">
        <v>1946</v>
      </c>
      <c r="H406">
        <v>60</v>
      </c>
    </row>
    <row r="407" spans="1:8" x14ac:dyDescent="0.25">
      <c r="A407">
        <v>1</v>
      </c>
      <c r="B407">
        <v>156941</v>
      </c>
      <c r="C407" t="s">
        <v>5</v>
      </c>
      <c r="D407">
        <v>809</v>
      </c>
      <c r="E407" s="11">
        <v>43739</v>
      </c>
      <c r="F407" s="38">
        <v>4854</v>
      </c>
      <c r="G407" s="38">
        <v>2224.75</v>
      </c>
      <c r="H407">
        <v>54.17</v>
      </c>
    </row>
    <row r="408" spans="1:8" x14ac:dyDescent="0.25">
      <c r="A408">
        <v>4</v>
      </c>
      <c r="B408">
        <v>256775</v>
      </c>
      <c r="C408" t="s">
        <v>4</v>
      </c>
      <c r="D408">
        <v>970</v>
      </c>
      <c r="E408" s="11">
        <v>43770</v>
      </c>
      <c r="F408" s="38">
        <v>4850</v>
      </c>
      <c r="G408" s="38">
        <v>2134</v>
      </c>
      <c r="H408">
        <v>56</v>
      </c>
    </row>
    <row r="409" spans="1:8" x14ac:dyDescent="0.25">
      <c r="A409">
        <v>2</v>
      </c>
      <c r="B409">
        <v>666752</v>
      </c>
      <c r="C409" t="s">
        <v>5</v>
      </c>
      <c r="D409">
        <v>807</v>
      </c>
      <c r="E409" s="11">
        <v>43862</v>
      </c>
      <c r="F409" s="38">
        <v>4842</v>
      </c>
      <c r="G409" s="38">
        <v>2219.25</v>
      </c>
      <c r="H409">
        <v>54.17</v>
      </c>
    </row>
    <row r="410" spans="1:8" x14ac:dyDescent="0.25">
      <c r="A410">
        <v>3</v>
      </c>
      <c r="B410">
        <v>103112</v>
      </c>
      <c r="C410" t="s">
        <v>2</v>
      </c>
      <c r="D410">
        <v>1210</v>
      </c>
      <c r="E410" s="11">
        <v>43891</v>
      </c>
      <c r="F410" s="38">
        <v>4840</v>
      </c>
      <c r="G410" s="38">
        <v>1815</v>
      </c>
      <c r="H410">
        <v>62.5</v>
      </c>
    </row>
    <row r="411" spans="1:8" x14ac:dyDescent="0.25">
      <c r="A411">
        <v>3</v>
      </c>
      <c r="B411">
        <v>518063</v>
      </c>
      <c r="C411" t="s">
        <v>2</v>
      </c>
      <c r="D411">
        <v>1198</v>
      </c>
      <c r="E411" s="11">
        <v>43739</v>
      </c>
      <c r="F411" s="38">
        <v>4792</v>
      </c>
      <c r="G411" s="38">
        <v>1797</v>
      </c>
      <c r="H411">
        <v>62.5</v>
      </c>
    </row>
    <row r="412" spans="1:8" x14ac:dyDescent="0.25">
      <c r="A412">
        <v>2</v>
      </c>
      <c r="B412">
        <v>561318</v>
      </c>
      <c r="C412" t="s">
        <v>1</v>
      </c>
      <c r="D412">
        <v>1583</v>
      </c>
      <c r="E412" s="11">
        <v>43983</v>
      </c>
      <c r="F412" s="38">
        <v>4749</v>
      </c>
      <c r="G412" s="38">
        <v>1978.75</v>
      </c>
      <c r="H412">
        <v>58.33</v>
      </c>
    </row>
    <row r="413" spans="1:8" x14ac:dyDescent="0.25">
      <c r="A413">
        <v>1</v>
      </c>
      <c r="B413">
        <v>628954</v>
      </c>
      <c r="C413" t="s">
        <v>1</v>
      </c>
      <c r="D413">
        <v>1582</v>
      </c>
      <c r="E413" s="11">
        <v>44166</v>
      </c>
      <c r="F413" s="38">
        <v>4746</v>
      </c>
      <c r="G413" s="38">
        <v>1977.5</v>
      </c>
      <c r="H413">
        <v>58.33</v>
      </c>
    </row>
    <row r="414" spans="1:8" x14ac:dyDescent="0.25">
      <c r="A414">
        <v>1</v>
      </c>
      <c r="B414">
        <v>217808</v>
      </c>
      <c r="C414" t="s">
        <v>5</v>
      </c>
      <c r="D414">
        <v>790</v>
      </c>
      <c r="E414" s="11">
        <v>43952</v>
      </c>
      <c r="F414" s="38">
        <v>4740</v>
      </c>
      <c r="G414" s="38">
        <v>2172.5</v>
      </c>
      <c r="H414">
        <v>54.17</v>
      </c>
    </row>
    <row r="415" spans="1:8" x14ac:dyDescent="0.25">
      <c r="A415">
        <v>5</v>
      </c>
      <c r="B415">
        <v>565067</v>
      </c>
      <c r="C415" t="s">
        <v>1</v>
      </c>
      <c r="D415">
        <v>1579</v>
      </c>
      <c r="E415" s="11">
        <v>43891</v>
      </c>
      <c r="F415" s="38">
        <v>4737</v>
      </c>
      <c r="G415" s="38">
        <v>1973.75</v>
      </c>
      <c r="H415">
        <v>58.33</v>
      </c>
    </row>
    <row r="416" spans="1:8" x14ac:dyDescent="0.25">
      <c r="A416">
        <v>2</v>
      </c>
      <c r="B416">
        <v>550622</v>
      </c>
      <c r="C416" t="s">
        <v>4</v>
      </c>
      <c r="D416">
        <v>947</v>
      </c>
      <c r="E416" s="11">
        <v>43709</v>
      </c>
      <c r="F416" s="38">
        <v>4735</v>
      </c>
      <c r="G416" s="38">
        <v>2083.4</v>
      </c>
      <c r="H416">
        <v>56</v>
      </c>
    </row>
    <row r="417" spans="1:8" x14ac:dyDescent="0.25">
      <c r="A417">
        <v>2</v>
      </c>
      <c r="B417">
        <v>358173</v>
      </c>
      <c r="C417" t="s">
        <v>1</v>
      </c>
      <c r="D417">
        <v>1570</v>
      </c>
      <c r="E417" s="11">
        <v>43983</v>
      </c>
      <c r="F417" s="38">
        <v>4710</v>
      </c>
      <c r="G417" s="38">
        <v>1962.5</v>
      </c>
      <c r="H417">
        <v>58.33</v>
      </c>
    </row>
    <row r="418" spans="1:8" x14ac:dyDescent="0.25">
      <c r="A418">
        <v>2</v>
      </c>
      <c r="B418">
        <v>544809</v>
      </c>
      <c r="C418" t="s">
        <v>4</v>
      </c>
      <c r="D418">
        <v>941</v>
      </c>
      <c r="E418" s="11">
        <v>44136</v>
      </c>
      <c r="F418" s="38">
        <v>4705</v>
      </c>
      <c r="G418" s="38">
        <v>2070.1999999999998</v>
      </c>
      <c r="H418">
        <v>56</v>
      </c>
    </row>
    <row r="419" spans="1:8" x14ac:dyDescent="0.25">
      <c r="A419">
        <v>1</v>
      </c>
      <c r="B419">
        <v>819278</v>
      </c>
      <c r="C419" t="s">
        <v>2</v>
      </c>
      <c r="D419">
        <v>1174</v>
      </c>
      <c r="E419" s="11">
        <v>44044</v>
      </c>
      <c r="F419" s="38">
        <v>4696</v>
      </c>
      <c r="G419" s="38">
        <v>1761</v>
      </c>
      <c r="H419">
        <v>62.5</v>
      </c>
    </row>
    <row r="420" spans="1:8" x14ac:dyDescent="0.25">
      <c r="A420">
        <v>1</v>
      </c>
      <c r="B420">
        <v>762271</v>
      </c>
      <c r="C420" t="s">
        <v>1</v>
      </c>
      <c r="D420">
        <v>1565</v>
      </c>
      <c r="E420" s="11">
        <v>44105</v>
      </c>
      <c r="F420" s="38">
        <v>4695</v>
      </c>
      <c r="G420" s="38">
        <v>1956.25</v>
      </c>
      <c r="H420">
        <v>58.33</v>
      </c>
    </row>
    <row r="421" spans="1:8" x14ac:dyDescent="0.25">
      <c r="A421">
        <v>4</v>
      </c>
      <c r="B421">
        <v>521663</v>
      </c>
      <c r="C421" t="s">
        <v>1</v>
      </c>
      <c r="D421">
        <v>1531</v>
      </c>
      <c r="E421" s="11">
        <v>44166</v>
      </c>
      <c r="F421" s="38">
        <v>4593</v>
      </c>
      <c r="G421" s="38">
        <v>1913.75</v>
      </c>
      <c r="H421">
        <v>58.33</v>
      </c>
    </row>
    <row r="422" spans="1:8" x14ac:dyDescent="0.25">
      <c r="A422">
        <v>5</v>
      </c>
      <c r="B422">
        <v>770750</v>
      </c>
      <c r="C422" t="s">
        <v>3</v>
      </c>
      <c r="D422">
        <v>918</v>
      </c>
      <c r="E422" s="11">
        <v>43952</v>
      </c>
      <c r="F422" s="38">
        <v>4590</v>
      </c>
      <c r="G422" s="38">
        <v>1836</v>
      </c>
      <c r="H422">
        <v>60</v>
      </c>
    </row>
    <row r="423" spans="1:8" x14ac:dyDescent="0.25">
      <c r="A423">
        <v>1</v>
      </c>
      <c r="B423">
        <v>587301</v>
      </c>
      <c r="C423" t="s">
        <v>1</v>
      </c>
      <c r="D423">
        <v>1527</v>
      </c>
      <c r="E423" s="11">
        <v>43709</v>
      </c>
      <c r="F423" s="38">
        <v>4581</v>
      </c>
      <c r="G423" s="38">
        <v>1908.75</v>
      </c>
      <c r="H423">
        <v>58.33</v>
      </c>
    </row>
    <row r="424" spans="1:8" x14ac:dyDescent="0.25">
      <c r="A424">
        <v>5</v>
      </c>
      <c r="B424">
        <v>855262</v>
      </c>
      <c r="C424" t="s">
        <v>3</v>
      </c>
      <c r="D424">
        <v>914</v>
      </c>
      <c r="E424" s="11">
        <v>44166</v>
      </c>
      <c r="F424" s="38">
        <v>4570</v>
      </c>
      <c r="G424" s="38">
        <v>1828</v>
      </c>
      <c r="H424">
        <v>60</v>
      </c>
    </row>
    <row r="425" spans="1:8" x14ac:dyDescent="0.25">
      <c r="A425">
        <v>1</v>
      </c>
      <c r="B425">
        <v>144696</v>
      </c>
      <c r="C425" t="s">
        <v>3</v>
      </c>
      <c r="D425">
        <v>912</v>
      </c>
      <c r="E425" s="11">
        <v>43770</v>
      </c>
      <c r="F425" s="38">
        <v>4560</v>
      </c>
      <c r="G425" s="38">
        <v>1824</v>
      </c>
      <c r="H425">
        <v>60</v>
      </c>
    </row>
    <row r="426" spans="1:8" x14ac:dyDescent="0.25">
      <c r="A426">
        <v>3</v>
      </c>
      <c r="B426">
        <v>592176</v>
      </c>
      <c r="C426" t="s">
        <v>1</v>
      </c>
      <c r="D426">
        <v>1514</v>
      </c>
      <c r="E426" s="11">
        <v>43739</v>
      </c>
      <c r="F426" s="38">
        <v>4542</v>
      </c>
      <c r="G426" s="38">
        <v>1892.5</v>
      </c>
      <c r="H426">
        <v>58.33</v>
      </c>
    </row>
    <row r="427" spans="1:8" x14ac:dyDescent="0.25">
      <c r="A427">
        <v>3</v>
      </c>
      <c r="B427">
        <v>170514</v>
      </c>
      <c r="C427" t="s">
        <v>3</v>
      </c>
      <c r="D427">
        <v>905</v>
      </c>
      <c r="E427" s="11">
        <v>44105</v>
      </c>
      <c r="F427" s="38">
        <v>4525</v>
      </c>
      <c r="G427" s="38">
        <v>1810</v>
      </c>
      <c r="H427">
        <v>60</v>
      </c>
    </row>
    <row r="428" spans="1:8" x14ac:dyDescent="0.25">
      <c r="A428">
        <v>5</v>
      </c>
      <c r="B428">
        <v>721252</v>
      </c>
      <c r="C428" t="s">
        <v>1</v>
      </c>
      <c r="D428">
        <v>1498</v>
      </c>
      <c r="E428" s="11">
        <v>43983</v>
      </c>
      <c r="F428" s="38">
        <v>4494</v>
      </c>
      <c r="G428" s="38">
        <v>1872.5</v>
      </c>
      <c r="H428">
        <v>58.33</v>
      </c>
    </row>
    <row r="429" spans="1:8" x14ac:dyDescent="0.25">
      <c r="A429">
        <v>2</v>
      </c>
      <c r="B429">
        <v>356877</v>
      </c>
      <c r="C429" t="s">
        <v>1</v>
      </c>
      <c r="D429">
        <v>1496</v>
      </c>
      <c r="E429" s="11">
        <v>44105</v>
      </c>
      <c r="F429" s="38">
        <v>4488</v>
      </c>
      <c r="G429" s="38">
        <v>1870</v>
      </c>
      <c r="H429">
        <v>58.33</v>
      </c>
    </row>
    <row r="430" spans="1:8" x14ac:dyDescent="0.25">
      <c r="A430">
        <v>3</v>
      </c>
      <c r="B430">
        <v>138905</v>
      </c>
      <c r="C430" t="s">
        <v>1</v>
      </c>
      <c r="D430">
        <v>1491</v>
      </c>
      <c r="E430" s="11">
        <v>43891</v>
      </c>
      <c r="F430" s="38">
        <v>4473</v>
      </c>
      <c r="G430" s="38">
        <v>1863.75</v>
      </c>
      <c r="H430">
        <v>58.33</v>
      </c>
    </row>
    <row r="431" spans="1:8" x14ac:dyDescent="0.25">
      <c r="A431">
        <v>4</v>
      </c>
      <c r="B431">
        <v>137994</v>
      </c>
      <c r="C431" t="s">
        <v>2</v>
      </c>
      <c r="D431">
        <v>1118</v>
      </c>
      <c r="E431" s="11">
        <v>43831</v>
      </c>
      <c r="F431" s="38">
        <v>4470</v>
      </c>
      <c r="G431" s="38">
        <v>1676.25</v>
      </c>
      <c r="H431">
        <v>62.5</v>
      </c>
    </row>
    <row r="432" spans="1:8" x14ac:dyDescent="0.25">
      <c r="A432">
        <v>3</v>
      </c>
      <c r="B432">
        <v>787606</v>
      </c>
      <c r="C432" t="s">
        <v>2</v>
      </c>
      <c r="D432">
        <v>1116</v>
      </c>
      <c r="E432" s="11">
        <v>43862</v>
      </c>
      <c r="F432" s="38">
        <v>4464</v>
      </c>
      <c r="G432" s="38">
        <v>1674</v>
      </c>
      <c r="H432">
        <v>62.5</v>
      </c>
    </row>
    <row r="433" spans="1:8" x14ac:dyDescent="0.25">
      <c r="A433">
        <v>3</v>
      </c>
      <c r="B433">
        <v>858624</v>
      </c>
      <c r="C433" t="s">
        <v>4</v>
      </c>
      <c r="D433">
        <v>888</v>
      </c>
      <c r="E433" s="11">
        <v>43891</v>
      </c>
      <c r="F433" s="38">
        <v>4440</v>
      </c>
      <c r="G433" s="38">
        <v>1953.6</v>
      </c>
      <c r="H433">
        <v>56</v>
      </c>
    </row>
    <row r="434" spans="1:8" x14ac:dyDescent="0.25">
      <c r="A434">
        <v>5</v>
      </c>
      <c r="B434">
        <v>249663</v>
      </c>
      <c r="C434" t="s">
        <v>3</v>
      </c>
      <c r="D434">
        <v>886</v>
      </c>
      <c r="E434" s="11">
        <v>43983</v>
      </c>
      <c r="F434" s="38">
        <v>4430</v>
      </c>
      <c r="G434" s="38">
        <v>1772</v>
      </c>
      <c r="H434">
        <v>60</v>
      </c>
    </row>
    <row r="435" spans="1:8" x14ac:dyDescent="0.25">
      <c r="A435">
        <v>4</v>
      </c>
      <c r="B435">
        <v>455927</v>
      </c>
      <c r="C435" t="s">
        <v>5</v>
      </c>
      <c r="D435">
        <v>736</v>
      </c>
      <c r="E435" s="11">
        <v>43709</v>
      </c>
      <c r="F435" s="38">
        <v>4416</v>
      </c>
      <c r="G435" s="38">
        <v>2024</v>
      </c>
      <c r="H435">
        <v>54.17</v>
      </c>
    </row>
    <row r="436" spans="1:8" x14ac:dyDescent="0.25">
      <c r="A436">
        <v>5</v>
      </c>
      <c r="B436">
        <v>889571</v>
      </c>
      <c r="C436" t="s">
        <v>3</v>
      </c>
      <c r="D436">
        <v>883</v>
      </c>
      <c r="E436" s="11">
        <v>44044</v>
      </c>
      <c r="F436" s="38">
        <v>4415</v>
      </c>
      <c r="G436" s="38">
        <v>1766</v>
      </c>
      <c r="H436">
        <v>60</v>
      </c>
    </row>
    <row r="437" spans="1:8" x14ac:dyDescent="0.25">
      <c r="A437">
        <v>3</v>
      </c>
      <c r="B437">
        <v>629559</v>
      </c>
      <c r="C437" t="s">
        <v>2</v>
      </c>
      <c r="D437">
        <v>1094</v>
      </c>
      <c r="E437" s="11">
        <v>43983</v>
      </c>
      <c r="F437" s="38">
        <v>4376</v>
      </c>
      <c r="G437" s="38">
        <v>1641</v>
      </c>
      <c r="H437">
        <v>62.5</v>
      </c>
    </row>
    <row r="438" spans="1:8" x14ac:dyDescent="0.25">
      <c r="A438">
        <v>3</v>
      </c>
      <c r="B438">
        <v>103317</v>
      </c>
      <c r="C438" t="s">
        <v>3</v>
      </c>
      <c r="D438">
        <v>873</v>
      </c>
      <c r="E438" s="11">
        <v>43831</v>
      </c>
      <c r="F438" s="38">
        <v>4365</v>
      </c>
      <c r="G438" s="38">
        <v>1746</v>
      </c>
      <c r="H438">
        <v>60</v>
      </c>
    </row>
    <row r="439" spans="1:8" x14ac:dyDescent="0.25">
      <c r="A439">
        <v>4</v>
      </c>
      <c r="B439">
        <v>329257</v>
      </c>
      <c r="C439" t="s">
        <v>2</v>
      </c>
      <c r="D439">
        <v>1085</v>
      </c>
      <c r="E439" s="11">
        <v>44105</v>
      </c>
      <c r="F439" s="38">
        <v>4340</v>
      </c>
      <c r="G439" s="38">
        <v>1627.5</v>
      </c>
      <c r="H439">
        <v>62.5</v>
      </c>
    </row>
    <row r="440" spans="1:8" x14ac:dyDescent="0.25">
      <c r="A440">
        <v>1</v>
      </c>
      <c r="B440">
        <v>852827</v>
      </c>
      <c r="C440" t="s">
        <v>3</v>
      </c>
      <c r="D440">
        <v>861</v>
      </c>
      <c r="E440" s="11">
        <v>44105</v>
      </c>
      <c r="F440" s="38">
        <v>4305</v>
      </c>
      <c r="G440" s="38">
        <v>1722</v>
      </c>
      <c r="H440">
        <v>60</v>
      </c>
    </row>
    <row r="441" spans="1:8" x14ac:dyDescent="0.25">
      <c r="A441">
        <v>3</v>
      </c>
      <c r="B441">
        <v>681348</v>
      </c>
      <c r="C441" t="s">
        <v>4</v>
      </c>
      <c r="D441">
        <v>853</v>
      </c>
      <c r="E441" s="11">
        <v>44166</v>
      </c>
      <c r="F441" s="38">
        <v>4265</v>
      </c>
      <c r="G441" s="38">
        <v>1876.6</v>
      </c>
      <c r="H441">
        <v>56</v>
      </c>
    </row>
    <row r="442" spans="1:8" x14ac:dyDescent="0.25">
      <c r="A442">
        <v>5</v>
      </c>
      <c r="B442">
        <v>295390</v>
      </c>
      <c r="C442" t="s">
        <v>5</v>
      </c>
      <c r="D442">
        <v>704</v>
      </c>
      <c r="E442" s="11">
        <v>43739</v>
      </c>
      <c r="F442" s="38">
        <v>4224</v>
      </c>
      <c r="G442" s="38">
        <v>1936</v>
      </c>
      <c r="H442">
        <v>54.17</v>
      </c>
    </row>
    <row r="443" spans="1:8" x14ac:dyDescent="0.25">
      <c r="A443">
        <v>2</v>
      </c>
      <c r="B443">
        <v>791359</v>
      </c>
      <c r="C443" t="s">
        <v>1</v>
      </c>
      <c r="D443">
        <v>1397</v>
      </c>
      <c r="E443" s="11">
        <v>44105</v>
      </c>
      <c r="F443" s="38">
        <v>4191</v>
      </c>
      <c r="G443" s="38">
        <v>1746.25</v>
      </c>
      <c r="H443">
        <v>58.33</v>
      </c>
    </row>
    <row r="444" spans="1:8" x14ac:dyDescent="0.25">
      <c r="A444">
        <v>5</v>
      </c>
      <c r="B444">
        <v>426898</v>
      </c>
      <c r="C444" t="s">
        <v>1</v>
      </c>
      <c r="D444">
        <v>1389</v>
      </c>
      <c r="E444" s="11">
        <v>43739</v>
      </c>
      <c r="F444" s="38">
        <v>4167</v>
      </c>
      <c r="G444" s="38">
        <v>1736.25</v>
      </c>
      <c r="H444">
        <v>58.33</v>
      </c>
    </row>
    <row r="445" spans="1:8" x14ac:dyDescent="0.25">
      <c r="A445">
        <v>1</v>
      </c>
      <c r="B445">
        <v>285799</v>
      </c>
      <c r="C445" t="s">
        <v>2</v>
      </c>
      <c r="D445">
        <v>1023</v>
      </c>
      <c r="E445" s="11">
        <v>43709</v>
      </c>
      <c r="F445" s="38">
        <v>4092</v>
      </c>
      <c r="G445" s="38">
        <v>1534.5</v>
      </c>
      <c r="H445">
        <v>62.5</v>
      </c>
    </row>
    <row r="446" spans="1:8" x14ac:dyDescent="0.25">
      <c r="A446">
        <v>1</v>
      </c>
      <c r="B446">
        <v>311475</v>
      </c>
      <c r="C446" t="s">
        <v>5</v>
      </c>
      <c r="D446">
        <v>681</v>
      </c>
      <c r="E446" s="11">
        <v>43831</v>
      </c>
      <c r="F446" s="38">
        <v>4086</v>
      </c>
      <c r="G446" s="38">
        <v>1872.75</v>
      </c>
      <c r="H446">
        <v>54.17</v>
      </c>
    </row>
    <row r="447" spans="1:8" x14ac:dyDescent="0.25">
      <c r="A447">
        <v>2</v>
      </c>
      <c r="B447">
        <v>296951</v>
      </c>
      <c r="C447" t="s">
        <v>2</v>
      </c>
      <c r="D447">
        <v>1016</v>
      </c>
      <c r="E447" s="11">
        <v>43770</v>
      </c>
      <c r="F447" s="38">
        <v>4064</v>
      </c>
      <c r="G447" s="38">
        <v>1524</v>
      </c>
      <c r="H447">
        <v>62.5</v>
      </c>
    </row>
    <row r="448" spans="1:8" x14ac:dyDescent="0.25">
      <c r="A448">
        <v>2</v>
      </c>
      <c r="B448">
        <v>151130</v>
      </c>
      <c r="C448" t="s">
        <v>1</v>
      </c>
      <c r="D448">
        <v>1352</v>
      </c>
      <c r="E448" s="11">
        <v>43922</v>
      </c>
      <c r="F448" s="38">
        <v>4054.5</v>
      </c>
      <c r="G448" s="38">
        <v>1689.38</v>
      </c>
      <c r="H448">
        <v>58.33</v>
      </c>
    </row>
    <row r="449" spans="1:8" x14ac:dyDescent="0.25">
      <c r="A449">
        <v>4</v>
      </c>
      <c r="B449">
        <v>875012</v>
      </c>
      <c r="C449" t="s">
        <v>3</v>
      </c>
      <c r="D449">
        <v>809</v>
      </c>
      <c r="E449" s="11">
        <v>43739</v>
      </c>
      <c r="F449" s="38">
        <v>4045</v>
      </c>
      <c r="G449" s="38">
        <v>1618</v>
      </c>
      <c r="H449">
        <v>60</v>
      </c>
    </row>
    <row r="450" spans="1:8" x14ac:dyDescent="0.25">
      <c r="A450">
        <v>5</v>
      </c>
      <c r="B450">
        <v>411519</v>
      </c>
      <c r="C450" t="s">
        <v>2</v>
      </c>
      <c r="D450">
        <v>1010</v>
      </c>
      <c r="E450" s="11">
        <v>44105</v>
      </c>
      <c r="F450" s="38">
        <v>4040</v>
      </c>
      <c r="G450" s="38">
        <v>1515</v>
      </c>
      <c r="H450">
        <v>62.5</v>
      </c>
    </row>
    <row r="451" spans="1:8" x14ac:dyDescent="0.25">
      <c r="A451">
        <v>5</v>
      </c>
      <c r="B451">
        <v>608863</v>
      </c>
      <c r="C451" t="s">
        <v>3</v>
      </c>
      <c r="D451">
        <v>807</v>
      </c>
      <c r="E451" s="11">
        <v>43831</v>
      </c>
      <c r="F451" s="38">
        <v>4035</v>
      </c>
      <c r="G451" s="38">
        <v>1614</v>
      </c>
      <c r="H451">
        <v>60</v>
      </c>
    </row>
    <row r="452" spans="1:8" x14ac:dyDescent="0.25">
      <c r="A452">
        <v>2</v>
      </c>
      <c r="B452">
        <v>253981</v>
      </c>
      <c r="C452" t="s">
        <v>5</v>
      </c>
      <c r="D452">
        <v>663</v>
      </c>
      <c r="E452" s="11">
        <v>44075</v>
      </c>
      <c r="F452" s="38">
        <v>3978</v>
      </c>
      <c r="G452" s="38">
        <v>1823.25</v>
      </c>
      <c r="H452">
        <v>54.17</v>
      </c>
    </row>
    <row r="453" spans="1:8" x14ac:dyDescent="0.25">
      <c r="A453">
        <v>5</v>
      </c>
      <c r="B453">
        <v>196520</v>
      </c>
      <c r="C453" t="s">
        <v>5</v>
      </c>
      <c r="D453">
        <v>663</v>
      </c>
      <c r="E453" s="11">
        <v>43739</v>
      </c>
      <c r="F453" s="38">
        <v>3978</v>
      </c>
      <c r="G453" s="38">
        <v>1823.25</v>
      </c>
      <c r="H453">
        <v>54.17</v>
      </c>
    </row>
    <row r="454" spans="1:8" x14ac:dyDescent="0.25">
      <c r="A454">
        <v>5</v>
      </c>
      <c r="B454">
        <v>514091</v>
      </c>
      <c r="C454" t="s">
        <v>1</v>
      </c>
      <c r="D454">
        <v>1326</v>
      </c>
      <c r="E454" s="11">
        <v>43891</v>
      </c>
      <c r="F454" s="38">
        <v>3978</v>
      </c>
      <c r="G454" s="38">
        <v>1657.5</v>
      </c>
      <c r="H454">
        <v>58.33</v>
      </c>
    </row>
    <row r="455" spans="1:8" x14ac:dyDescent="0.25">
      <c r="A455">
        <v>2</v>
      </c>
      <c r="B455">
        <v>776513</v>
      </c>
      <c r="C455" t="s">
        <v>3</v>
      </c>
      <c r="D455">
        <v>795</v>
      </c>
      <c r="E455" s="11">
        <v>43891</v>
      </c>
      <c r="F455" s="38">
        <v>3975</v>
      </c>
      <c r="G455" s="38">
        <v>1590</v>
      </c>
      <c r="H455">
        <v>60</v>
      </c>
    </row>
    <row r="456" spans="1:8" x14ac:dyDescent="0.25">
      <c r="A456">
        <v>1</v>
      </c>
      <c r="B456">
        <v>551997</v>
      </c>
      <c r="C456" t="s">
        <v>2</v>
      </c>
      <c r="D456">
        <v>991</v>
      </c>
      <c r="E456" s="11">
        <v>43983</v>
      </c>
      <c r="F456" s="38">
        <v>3964</v>
      </c>
      <c r="G456" s="38">
        <v>1486.5</v>
      </c>
      <c r="H456">
        <v>62.5</v>
      </c>
    </row>
    <row r="457" spans="1:8" x14ac:dyDescent="0.25">
      <c r="A457">
        <v>3</v>
      </c>
      <c r="B457">
        <v>899629</v>
      </c>
      <c r="C457" t="s">
        <v>5</v>
      </c>
      <c r="D457">
        <v>660</v>
      </c>
      <c r="E457" s="11">
        <v>43709</v>
      </c>
      <c r="F457" s="38">
        <v>3960</v>
      </c>
      <c r="G457" s="38">
        <v>1815</v>
      </c>
      <c r="H457">
        <v>54.17</v>
      </c>
    </row>
    <row r="458" spans="1:8" x14ac:dyDescent="0.25">
      <c r="A458">
        <v>5</v>
      </c>
      <c r="B458">
        <v>505339</v>
      </c>
      <c r="C458" t="s">
        <v>3</v>
      </c>
      <c r="D458">
        <v>788</v>
      </c>
      <c r="E458" s="11">
        <v>43709</v>
      </c>
      <c r="F458" s="38">
        <v>3940</v>
      </c>
      <c r="G458" s="38">
        <v>1576</v>
      </c>
      <c r="H458">
        <v>60</v>
      </c>
    </row>
    <row r="459" spans="1:8" x14ac:dyDescent="0.25">
      <c r="A459">
        <v>3</v>
      </c>
      <c r="B459">
        <v>387444</v>
      </c>
      <c r="C459" t="s">
        <v>3</v>
      </c>
      <c r="D459">
        <v>787</v>
      </c>
      <c r="E459" s="11">
        <v>43983</v>
      </c>
      <c r="F459" s="38">
        <v>3935</v>
      </c>
      <c r="G459" s="38">
        <v>1574</v>
      </c>
      <c r="H459">
        <v>60</v>
      </c>
    </row>
    <row r="460" spans="1:8" x14ac:dyDescent="0.25">
      <c r="A460">
        <v>4</v>
      </c>
      <c r="B460">
        <v>573970</v>
      </c>
      <c r="C460" t="s">
        <v>5</v>
      </c>
      <c r="D460">
        <v>655</v>
      </c>
      <c r="E460" s="11">
        <v>43709</v>
      </c>
      <c r="F460" s="38">
        <v>3930</v>
      </c>
      <c r="G460" s="38">
        <v>1801.25</v>
      </c>
      <c r="H460">
        <v>54.17</v>
      </c>
    </row>
    <row r="461" spans="1:8" x14ac:dyDescent="0.25">
      <c r="A461">
        <v>5</v>
      </c>
      <c r="B461">
        <v>510933</v>
      </c>
      <c r="C461" t="s">
        <v>1</v>
      </c>
      <c r="D461">
        <v>1281</v>
      </c>
      <c r="E461" s="11">
        <v>43800</v>
      </c>
      <c r="F461" s="38">
        <v>3843</v>
      </c>
      <c r="G461" s="38">
        <v>1601.25</v>
      </c>
      <c r="H461">
        <v>58.33</v>
      </c>
    </row>
    <row r="462" spans="1:8" x14ac:dyDescent="0.25">
      <c r="A462">
        <v>2</v>
      </c>
      <c r="B462">
        <v>897372</v>
      </c>
      <c r="C462" t="s">
        <v>5</v>
      </c>
      <c r="D462">
        <v>639</v>
      </c>
      <c r="E462" s="11">
        <v>44013</v>
      </c>
      <c r="F462" s="38">
        <v>3834</v>
      </c>
      <c r="G462" s="38">
        <v>1757.25</v>
      </c>
      <c r="H462">
        <v>54.17</v>
      </c>
    </row>
    <row r="463" spans="1:8" x14ac:dyDescent="0.25">
      <c r="A463">
        <v>3</v>
      </c>
      <c r="B463">
        <v>584477</v>
      </c>
      <c r="C463" t="s">
        <v>5</v>
      </c>
      <c r="D463">
        <v>639</v>
      </c>
      <c r="E463" s="11">
        <v>44136</v>
      </c>
      <c r="F463" s="38">
        <v>3834</v>
      </c>
      <c r="G463" s="38">
        <v>1757.25</v>
      </c>
      <c r="H463">
        <v>54.17</v>
      </c>
    </row>
    <row r="464" spans="1:8" x14ac:dyDescent="0.25">
      <c r="A464">
        <v>5</v>
      </c>
      <c r="B464">
        <v>238791</v>
      </c>
      <c r="C464" t="s">
        <v>3</v>
      </c>
      <c r="D464">
        <v>766</v>
      </c>
      <c r="E464" s="11">
        <v>43739</v>
      </c>
      <c r="F464" s="38">
        <v>3830</v>
      </c>
      <c r="G464" s="38">
        <v>1532</v>
      </c>
      <c r="H464">
        <v>60</v>
      </c>
    </row>
    <row r="465" spans="1:8" x14ac:dyDescent="0.25">
      <c r="A465">
        <v>3</v>
      </c>
      <c r="B465">
        <v>751314</v>
      </c>
      <c r="C465" t="s">
        <v>5</v>
      </c>
      <c r="D465">
        <v>635</v>
      </c>
      <c r="E465" s="11">
        <v>44166</v>
      </c>
      <c r="F465" s="38">
        <v>3810</v>
      </c>
      <c r="G465" s="38">
        <v>1746.25</v>
      </c>
      <c r="H465">
        <v>54.17</v>
      </c>
    </row>
    <row r="466" spans="1:8" x14ac:dyDescent="0.25">
      <c r="A466">
        <v>4</v>
      </c>
      <c r="B466">
        <v>156617</v>
      </c>
      <c r="C466" t="s">
        <v>0</v>
      </c>
      <c r="D466">
        <v>3803</v>
      </c>
      <c r="E466" s="11">
        <v>43922</v>
      </c>
      <c r="F466" s="38">
        <v>3802.5</v>
      </c>
      <c r="G466" s="38">
        <v>1901.25</v>
      </c>
      <c r="H466">
        <v>50</v>
      </c>
    </row>
    <row r="467" spans="1:8" x14ac:dyDescent="0.25">
      <c r="A467">
        <v>3</v>
      </c>
      <c r="B467">
        <v>646205</v>
      </c>
      <c r="C467" t="s">
        <v>1</v>
      </c>
      <c r="D467">
        <v>1265</v>
      </c>
      <c r="E467" s="11">
        <v>43770</v>
      </c>
      <c r="F467" s="38">
        <v>3795</v>
      </c>
      <c r="G467" s="38">
        <v>1581.25</v>
      </c>
      <c r="H467">
        <v>58.33</v>
      </c>
    </row>
    <row r="468" spans="1:8" x14ac:dyDescent="0.25">
      <c r="A468">
        <v>2</v>
      </c>
      <c r="B468">
        <v>320688</v>
      </c>
      <c r="C468" t="s">
        <v>3</v>
      </c>
      <c r="D468">
        <v>747</v>
      </c>
      <c r="E468" s="11">
        <v>44075</v>
      </c>
      <c r="F468" s="38">
        <v>3735</v>
      </c>
      <c r="G468" s="38">
        <v>1494</v>
      </c>
      <c r="H468">
        <v>60</v>
      </c>
    </row>
    <row r="469" spans="1:8" x14ac:dyDescent="0.25">
      <c r="A469">
        <v>3</v>
      </c>
      <c r="B469">
        <v>871331</v>
      </c>
      <c r="C469" t="s">
        <v>1</v>
      </c>
      <c r="D469">
        <v>1233</v>
      </c>
      <c r="E469" s="11">
        <v>44166</v>
      </c>
      <c r="F469" s="38">
        <v>3699</v>
      </c>
      <c r="G469" s="38">
        <v>1541.25</v>
      </c>
      <c r="H469">
        <v>58.33</v>
      </c>
    </row>
    <row r="470" spans="1:8" x14ac:dyDescent="0.25">
      <c r="A470">
        <v>3</v>
      </c>
      <c r="B470">
        <v>602911</v>
      </c>
      <c r="C470" t="s">
        <v>2</v>
      </c>
      <c r="D470">
        <v>923</v>
      </c>
      <c r="E470" s="11">
        <v>43891</v>
      </c>
      <c r="F470" s="38">
        <v>3692</v>
      </c>
      <c r="G470" s="38">
        <v>1384.5</v>
      </c>
      <c r="H470">
        <v>62.5</v>
      </c>
    </row>
    <row r="471" spans="1:8" x14ac:dyDescent="0.25">
      <c r="A471">
        <v>2</v>
      </c>
      <c r="B471">
        <v>699845</v>
      </c>
      <c r="C471" t="s">
        <v>1</v>
      </c>
      <c r="D471">
        <v>1227</v>
      </c>
      <c r="E471" s="11">
        <v>44105</v>
      </c>
      <c r="F471" s="38">
        <v>3681</v>
      </c>
      <c r="G471" s="38">
        <v>1533.75</v>
      </c>
      <c r="H471">
        <v>58.33</v>
      </c>
    </row>
    <row r="472" spans="1:8" x14ac:dyDescent="0.25">
      <c r="A472">
        <v>2</v>
      </c>
      <c r="B472">
        <v>425472</v>
      </c>
      <c r="C472" t="s">
        <v>1</v>
      </c>
      <c r="D472">
        <v>1221</v>
      </c>
      <c r="E472" s="11">
        <v>43739</v>
      </c>
      <c r="F472" s="38">
        <v>3663</v>
      </c>
      <c r="G472" s="38">
        <v>1526.25</v>
      </c>
      <c r="H472">
        <v>58.33</v>
      </c>
    </row>
    <row r="473" spans="1:8" x14ac:dyDescent="0.25">
      <c r="A473">
        <v>1</v>
      </c>
      <c r="B473">
        <v>741049</v>
      </c>
      <c r="C473" t="s">
        <v>5</v>
      </c>
      <c r="D473">
        <v>609</v>
      </c>
      <c r="E473" s="11">
        <v>44044</v>
      </c>
      <c r="F473" s="38">
        <v>3654</v>
      </c>
      <c r="G473" s="38">
        <v>1674.75</v>
      </c>
      <c r="H473">
        <v>54.17</v>
      </c>
    </row>
    <row r="474" spans="1:8" x14ac:dyDescent="0.25">
      <c r="A474">
        <v>1</v>
      </c>
      <c r="B474">
        <v>349645</v>
      </c>
      <c r="C474" t="s">
        <v>5</v>
      </c>
      <c r="D474">
        <v>606</v>
      </c>
      <c r="E474" s="11">
        <v>43922</v>
      </c>
      <c r="F474" s="38">
        <v>3636</v>
      </c>
      <c r="G474" s="38">
        <v>1666.5</v>
      </c>
      <c r="H474">
        <v>54.17</v>
      </c>
    </row>
    <row r="475" spans="1:8" x14ac:dyDescent="0.25">
      <c r="A475">
        <v>3</v>
      </c>
      <c r="B475">
        <v>698573</v>
      </c>
      <c r="C475" t="s">
        <v>4</v>
      </c>
      <c r="D475">
        <v>727</v>
      </c>
      <c r="E475" s="11">
        <v>43739</v>
      </c>
      <c r="F475" s="38">
        <v>3635</v>
      </c>
      <c r="G475" s="38">
        <v>1599.4</v>
      </c>
      <c r="H475">
        <v>56</v>
      </c>
    </row>
    <row r="476" spans="1:8" x14ac:dyDescent="0.25">
      <c r="A476">
        <v>4</v>
      </c>
      <c r="B476">
        <v>885205</v>
      </c>
      <c r="C476" t="s">
        <v>3</v>
      </c>
      <c r="D476">
        <v>727</v>
      </c>
      <c r="E476" s="11">
        <v>43983</v>
      </c>
      <c r="F476" s="38">
        <v>3635</v>
      </c>
      <c r="G476" s="38">
        <v>1454</v>
      </c>
      <c r="H476">
        <v>60</v>
      </c>
    </row>
    <row r="477" spans="1:8" x14ac:dyDescent="0.25">
      <c r="A477">
        <v>5</v>
      </c>
      <c r="B477">
        <v>758323</v>
      </c>
      <c r="C477" t="s">
        <v>3</v>
      </c>
      <c r="D477">
        <v>727</v>
      </c>
      <c r="E477" s="11">
        <v>43739</v>
      </c>
      <c r="F477" s="38">
        <v>3635</v>
      </c>
      <c r="G477" s="38">
        <v>1454</v>
      </c>
      <c r="H477">
        <v>60</v>
      </c>
    </row>
    <row r="478" spans="1:8" x14ac:dyDescent="0.25">
      <c r="A478">
        <v>4</v>
      </c>
      <c r="B478">
        <v>249563</v>
      </c>
      <c r="C478" t="s">
        <v>2</v>
      </c>
      <c r="D478">
        <v>908</v>
      </c>
      <c r="E478" s="11">
        <v>43800</v>
      </c>
      <c r="F478" s="38">
        <v>3632</v>
      </c>
      <c r="G478" s="38">
        <v>1362</v>
      </c>
      <c r="H478">
        <v>62.5</v>
      </c>
    </row>
    <row r="479" spans="1:8" x14ac:dyDescent="0.25">
      <c r="A479">
        <v>4</v>
      </c>
      <c r="B479">
        <v>746705</v>
      </c>
      <c r="C479" t="s">
        <v>0</v>
      </c>
      <c r="D479">
        <v>3627</v>
      </c>
      <c r="E479" s="11">
        <v>44013</v>
      </c>
      <c r="F479" s="38">
        <v>3627</v>
      </c>
      <c r="G479" s="38">
        <v>1813.5</v>
      </c>
      <c r="H479">
        <v>50</v>
      </c>
    </row>
    <row r="480" spans="1:8" x14ac:dyDescent="0.25">
      <c r="A480">
        <v>1</v>
      </c>
      <c r="B480">
        <v>135967</v>
      </c>
      <c r="C480" t="s">
        <v>5</v>
      </c>
      <c r="D480">
        <v>604</v>
      </c>
      <c r="E480" s="11">
        <v>43983</v>
      </c>
      <c r="F480" s="38">
        <v>3624</v>
      </c>
      <c r="G480" s="38">
        <v>1661</v>
      </c>
      <c r="H480">
        <v>54.17</v>
      </c>
    </row>
    <row r="481" spans="1:8" x14ac:dyDescent="0.25">
      <c r="A481">
        <v>4</v>
      </c>
      <c r="B481">
        <v>170761</v>
      </c>
      <c r="C481" t="s">
        <v>3</v>
      </c>
      <c r="D481">
        <v>723</v>
      </c>
      <c r="E481" s="11">
        <v>43922</v>
      </c>
      <c r="F481" s="38">
        <v>3615</v>
      </c>
      <c r="G481" s="38">
        <v>1446</v>
      </c>
      <c r="H481">
        <v>60</v>
      </c>
    </row>
    <row r="482" spans="1:8" x14ac:dyDescent="0.25">
      <c r="A482">
        <v>4</v>
      </c>
      <c r="B482">
        <v>192398</v>
      </c>
      <c r="C482" t="s">
        <v>5</v>
      </c>
      <c r="D482">
        <v>602</v>
      </c>
      <c r="E482" s="11">
        <v>43983</v>
      </c>
      <c r="F482" s="38">
        <v>3612</v>
      </c>
      <c r="G482" s="38">
        <v>1655.5</v>
      </c>
      <c r="H482">
        <v>54.17</v>
      </c>
    </row>
    <row r="483" spans="1:8" x14ac:dyDescent="0.25">
      <c r="A483">
        <v>1</v>
      </c>
      <c r="B483">
        <v>856865</v>
      </c>
      <c r="C483" t="s">
        <v>5</v>
      </c>
      <c r="D483">
        <v>598</v>
      </c>
      <c r="E483" s="11">
        <v>43891</v>
      </c>
      <c r="F483" s="38">
        <v>3588</v>
      </c>
      <c r="G483" s="38">
        <v>1644.5</v>
      </c>
      <c r="H483">
        <v>54.17</v>
      </c>
    </row>
    <row r="484" spans="1:8" x14ac:dyDescent="0.25">
      <c r="A484">
        <v>5</v>
      </c>
      <c r="B484">
        <v>103888</v>
      </c>
      <c r="C484" t="s">
        <v>4</v>
      </c>
      <c r="D484">
        <v>711</v>
      </c>
      <c r="E484" s="11">
        <v>44166</v>
      </c>
      <c r="F484" s="38">
        <v>3555</v>
      </c>
      <c r="G484" s="38">
        <v>1564.2</v>
      </c>
      <c r="H484">
        <v>56</v>
      </c>
    </row>
    <row r="485" spans="1:8" x14ac:dyDescent="0.25">
      <c r="A485">
        <v>3</v>
      </c>
      <c r="B485">
        <v>361699</v>
      </c>
      <c r="C485" t="s">
        <v>2</v>
      </c>
      <c r="D485">
        <v>888</v>
      </c>
      <c r="E485" s="11">
        <v>43983</v>
      </c>
      <c r="F485" s="38">
        <v>3552</v>
      </c>
      <c r="G485" s="38">
        <v>1332</v>
      </c>
      <c r="H485">
        <v>62.5</v>
      </c>
    </row>
    <row r="486" spans="1:8" x14ac:dyDescent="0.25">
      <c r="A486">
        <v>3</v>
      </c>
      <c r="B486">
        <v>847678</v>
      </c>
      <c r="C486" t="s">
        <v>2</v>
      </c>
      <c r="D486">
        <v>887</v>
      </c>
      <c r="E486" s="11">
        <v>43800</v>
      </c>
      <c r="F486" s="38">
        <v>3548</v>
      </c>
      <c r="G486" s="38">
        <v>1330.5</v>
      </c>
      <c r="H486">
        <v>62.5</v>
      </c>
    </row>
    <row r="487" spans="1:8" x14ac:dyDescent="0.25">
      <c r="A487">
        <v>4</v>
      </c>
      <c r="B487">
        <v>533938</v>
      </c>
      <c r="C487" t="s">
        <v>2</v>
      </c>
      <c r="D487">
        <v>886</v>
      </c>
      <c r="E487" s="11">
        <v>43983</v>
      </c>
      <c r="F487" s="38">
        <v>3544</v>
      </c>
      <c r="G487" s="38">
        <v>1329</v>
      </c>
      <c r="H487">
        <v>62.5</v>
      </c>
    </row>
    <row r="488" spans="1:8" x14ac:dyDescent="0.25">
      <c r="A488">
        <v>4</v>
      </c>
      <c r="B488">
        <v>137921</v>
      </c>
      <c r="C488" t="s">
        <v>4</v>
      </c>
      <c r="D488">
        <v>708</v>
      </c>
      <c r="E488" s="11">
        <v>43983</v>
      </c>
      <c r="F488" s="38">
        <v>3540</v>
      </c>
      <c r="G488" s="38">
        <v>1557.6</v>
      </c>
      <c r="H488">
        <v>56</v>
      </c>
    </row>
    <row r="489" spans="1:8" x14ac:dyDescent="0.25">
      <c r="A489">
        <v>3</v>
      </c>
      <c r="B489">
        <v>267107</v>
      </c>
      <c r="C489" t="s">
        <v>4</v>
      </c>
      <c r="D489">
        <v>707</v>
      </c>
      <c r="E489" s="11">
        <v>44075</v>
      </c>
      <c r="F489" s="38">
        <v>3535</v>
      </c>
      <c r="G489" s="38">
        <v>1555.4</v>
      </c>
      <c r="H489">
        <v>56</v>
      </c>
    </row>
    <row r="490" spans="1:8" x14ac:dyDescent="0.25">
      <c r="A490">
        <v>3</v>
      </c>
      <c r="B490">
        <v>629523</v>
      </c>
      <c r="C490" t="s">
        <v>5</v>
      </c>
      <c r="D490">
        <v>588</v>
      </c>
      <c r="E490" s="11">
        <v>43800</v>
      </c>
      <c r="F490" s="38">
        <v>3528</v>
      </c>
      <c r="G490" s="38">
        <v>1617</v>
      </c>
      <c r="H490">
        <v>54.17</v>
      </c>
    </row>
    <row r="491" spans="1:8" x14ac:dyDescent="0.25">
      <c r="A491">
        <v>2</v>
      </c>
      <c r="B491">
        <v>330030</v>
      </c>
      <c r="C491" t="s">
        <v>1</v>
      </c>
      <c r="D491">
        <v>1175</v>
      </c>
      <c r="E491" s="11">
        <v>44105</v>
      </c>
      <c r="F491" s="38">
        <v>3525</v>
      </c>
      <c r="G491" s="38">
        <v>1468.75</v>
      </c>
      <c r="H491">
        <v>58.33</v>
      </c>
    </row>
    <row r="492" spans="1:8" x14ac:dyDescent="0.25">
      <c r="A492">
        <v>1</v>
      </c>
      <c r="B492">
        <v>567484</v>
      </c>
      <c r="C492" t="s">
        <v>3</v>
      </c>
      <c r="D492">
        <v>704</v>
      </c>
      <c r="E492" s="11">
        <v>43739</v>
      </c>
      <c r="F492" s="38">
        <v>3520</v>
      </c>
      <c r="G492" s="38">
        <v>1408</v>
      </c>
      <c r="H492">
        <v>60</v>
      </c>
    </row>
    <row r="493" spans="1:8" x14ac:dyDescent="0.25">
      <c r="A493">
        <v>5</v>
      </c>
      <c r="B493">
        <v>778322</v>
      </c>
      <c r="C493" t="s">
        <v>3</v>
      </c>
      <c r="D493">
        <v>700</v>
      </c>
      <c r="E493" s="11">
        <v>44136</v>
      </c>
      <c r="F493" s="38">
        <v>3500</v>
      </c>
      <c r="G493" s="38">
        <v>1400</v>
      </c>
      <c r="H493">
        <v>60</v>
      </c>
    </row>
    <row r="494" spans="1:8" x14ac:dyDescent="0.25">
      <c r="A494">
        <v>4</v>
      </c>
      <c r="B494">
        <v>666684</v>
      </c>
      <c r="C494" t="s">
        <v>1</v>
      </c>
      <c r="D494">
        <v>1153</v>
      </c>
      <c r="E494" s="11">
        <v>44105</v>
      </c>
      <c r="F494" s="38">
        <v>3459</v>
      </c>
      <c r="G494" s="38">
        <v>1441.25</v>
      </c>
      <c r="H494">
        <v>58.33</v>
      </c>
    </row>
    <row r="495" spans="1:8" x14ac:dyDescent="0.25">
      <c r="A495">
        <v>3</v>
      </c>
      <c r="B495">
        <v>578401</v>
      </c>
      <c r="C495" t="s">
        <v>3</v>
      </c>
      <c r="D495">
        <v>689</v>
      </c>
      <c r="E495" s="11">
        <v>43983</v>
      </c>
      <c r="F495" s="38">
        <v>3445</v>
      </c>
      <c r="G495" s="38">
        <v>1378</v>
      </c>
      <c r="H495">
        <v>60</v>
      </c>
    </row>
    <row r="496" spans="1:8" x14ac:dyDescent="0.25">
      <c r="A496">
        <v>2</v>
      </c>
      <c r="B496">
        <v>609418</v>
      </c>
      <c r="C496" t="s">
        <v>5</v>
      </c>
      <c r="D496">
        <v>567</v>
      </c>
      <c r="E496" s="11">
        <v>44075</v>
      </c>
      <c r="F496" s="38">
        <v>3402</v>
      </c>
      <c r="G496" s="38">
        <v>1559.25</v>
      </c>
      <c r="H496">
        <v>54.17</v>
      </c>
    </row>
    <row r="497" spans="1:8" x14ac:dyDescent="0.25">
      <c r="A497">
        <v>5</v>
      </c>
      <c r="B497">
        <v>456841</v>
      </c>
      <c r="C497" t="s">
        <v>3</v>
      </c>
      <c r="D497">
        <v>678</v>
      </c>
      <c r="E497" s="11">
        <v>44044</v>
      </c>
      <c r="F497" s="38">
        <v>3390</v>
      </c>
      <c r="G497" s="38">
        <v>1356</v>
      </c>
      <c r="H497">
        <v>60</v>
      </c>
    </row>
    <row r="498" spans="1:8" x14ac:dyDescent="0.25">
      <c r="A498">
        <v>5</v>
      </c>
      <c r="B498">
        <v>441711</v>
      </c>
      <c r="C498" t="s">
        <v>1</v>
      </c>
      <c r="D498">
        <v>1123</v>
      </c>
      <c r="E498" s="11">
        <v>43770</v>
      </c>
      <c r="F498" s="38">
        <v>3369</v>
      </c>
      <c r="G498" s="38">
        <v>1403.75</v>
      </c>
      <c r="H498">
        <v>58.33</v>
      </c>
    </row>
    <row r="499" spans="1:8" x14ac:dyDescent="0.25">
      <c r="A499">
        <v>1</v>
      </c>
      <c r="B499">
        <v>707858</v>
      </c>
      <c r="C499" t="s">
        <v>3</v>
      </c>
      <c r="D499">
        <v>671</v>
      </c>
      <c r="E499" s="11">
        <v>43739</v>
      </c>
      <c r="F499" s="38">
        <v>3355</v>
      </c>
      <c r="G499" s="38">
        <v>1342</v>
      </c>
      <c r="H499">
        <v>60</v>
      </c>
    </row>
    <row r="500" spans="1:8" x14ac:dyDescent="0.25">
      <c r="A500">
        <v>4</v>
      </c>
      <c r="B500">
        <v>397008</v>
      </c>
      <c r="C500" t="s">
        <v>4</v>
      </c>
      <c r="D500">
        <v>671</v>
      </c>
      <c r="E500" s="11">
        <v>43739</v>
      </c>
      <c r="F500" s="38">
        <v>3355</v>
      </c>
      <c r="G500" s="38">
        <v>1476.2</v>
      </c>
      <c r="H500">
        <v>56</v>
      </c>
    </row>
    <row r="501" spans="1:8" x14ac:dyDescent="0.25">
      <c r="A501">
        <v>1</v>
      </c>
      <c r="B501">
        <v>197116</v>
      </c>
      <c r="C501" t="s">
        <v>5</v>
      </c>
      <c r="D501">
        <v>555</v>
      </c>
      <c r="E501" s="11">
        <v>43831</v>
      </c>
      <c r="F501" s="38">
        <v>3330</v>
      </c>
      <c r="G501" s="38">
        <v>1526.25</v>
      </c>
      <c r="H501">
        <v>54.17</v>
      </c>
    </row>
    <row r="502" spans="1:8" x14ac:dyDescent="0.25">
      <c r="A502">
        <v>1</v>
      </c>
      <c r="B502">
        <v>355733</v>
      </c>
      <c r="C502" t="s">
        <v>2</v>
      </c>
      <c r="D502">
        <v>831</v>
      </c>
      <c r="E502" s="11">
        <v>43952</v>
      </c>
      <c r="F502" s="38">
        <v>3324</v>
      </c>
      <c r="G502" s="38">
        <v>1246.5</v>
      </c>
      <c r="H502">
        <v>62.5</v>
      </c>
    </row>
    <row r="503" spans="1:8" x14ac:dyDescent="0.25">
      <c r="A503">
        <v>5</v>
      </c>
      <c r="B503">
        <v>847203</v>
      </c>
      <c r="C503" t="s">
        <v>3</v>
      </c>
      <c r="D503">
        <v>662</v>
      </c>
      <c r="E503" s="11">
        <v>43983</v>
      </c>
      <c r="F503" s="38">
        <v>3310</v>
      </c>
      <c r="G503" s="38">
        <v>1324</v>
      </c>
      <c r="H503">
        <v>60</v>
      </c>
    </row>
    <row r="504" spans="1:8" x14ac:dyDescent="0.25">
      <c r="A504">
        <v>3</v>
      </c>
      <c r="B504">
        <v>433084</v>
      </c>
      <c r="C504" t="s">
        <v>5</v>
      </c>
      <c r="D504">
        <v>547</v>
      </c>
      <c r="E504" s="11">
        <v>44136</v>
      </c>
      <c r="F504" s="38">
        <v>3282</v>
      </c>
      <c r="G504" s="38">
        <v>1504.25</v>
      </c>
      <c r="H504">
        <v>54.17</v>
      </c>
    </row>
    <row r="505" spans="1:8" x14ac:dyDescent="0.25">
      <c r="A505">
        <v>4</v>
      </c>
      <c r="B505">
        <v>865204</v>
      </c>
      <c r="C505" t="s">
        <v>2</v>
      </c>
      <c r="D505">
        <v>819</v>
      </c>
      <c r="E505" s="11">
        <v>44013</v>
      </c>
      <c r="F505" s="38">
        <v>3276</v>
      </c>
      <c r="G505" s="38">
        <v>1228.5</v>
      </c>
      <c r="H505">
        <v>62.5</v>
      </c>
    </row>
    <row r="506" spans="1:8" x14ac:dyDescent="0.25">
      <c r="A506">
        <v>5</v>
      </c>
      <c r="B506">
        <v>214845</v>
      </c>
      <c r="C506" t="s">
        <v>5</v>
      </c>
      <c r="D506">
        <v>544</v>
      </c>
      <c r="E506" s="11">
        <v>43800</v>
      </c>
      <c r="F506" s="38">
        <v>3264</v>
      </c>
      <c r="G506" s="38">
        <v>1496</v>
      </c>
      <c r="H506">
        <v>54.17</v>
      </c>
    </row>
    <row r="507" spans="1:8" x14ac:dyDescent="0.25">
      <c r="A507">
        <v>5</v>
      </c>
      <c r="B507">
        <v>372739</v>
      </c>
      <c r="C507" t="s">
        <v>2</v>
      </c>
      <c r="D507">
        <v>801</v>
      </c>
      <c r="E507" s="11">
        <v>44013</v>
      </c>
      <c r="F507" s="38">
        <v>3204</v>
      </c>
      <c r="G507" s="38">
        <v>1201.5</v>
      </c>
      <c r="H507">
        <v>62.5</v>
      </c>
    </row>
    <row r="508" spans="1:8" x14ac:dyDescent="0.25">
      <c r="A508">
        <v>3</v>
      </c>
      <c r="B508">
        <v>480891</v>
      </c>
      <c r="C508" t="s">
        <v>4</v>
      </c>
      <c r="D508">
        <v>635</v>
      </c>
      <c r="E508" s="11">
        <v>44166</v>
      </c>
      <c r="F508" s="38">
        <v>3175</v>
      </c>
      <c r="G508" s="38">
        <v>1397</v>
      </c>
      <c r="H508">
        <v>56</v>
      </c>
    </row>
    <row r="509" spans="1:8" x14ac:dyDescent="0.25">
      <c r="A509">
        <v>5</v>
      </c>
      <c r="B509">
        <v>242657</v>
      </c>
      <c r="C509" t="s">
        <v>2</v>
      </c>
      <c r="D509">
        <v>792</v>
      </c>
      <c r="E509" s="11">
        <v>43891</v>
      </c>
      <c r="F509" s="38">
        <v>3168</v>
      </c>
      <c r="G509" s="38">
        <v>1188</v>
      </c>
      <c r="H509">
        <v>62.5</v>
      </c>
    </row>
    <row r="510" spans="1:8" x14ac:dyDescent="0.25">
      <c r="A510">
        <v>2</v>
      </c>
      <c r="B510">
        <v>183779</v>
      </c>
      <c r="C510" t="s">
        <v>4</v>
      </c>
      <c r="D510">
        <v>615</v>
      </c>
      <c r="E510" s="11">
        <v>44166</v>
      </c>
      <c r="F510" s="38">
        <v>3075</v>
      </c>
      <c r="G510" s="38">
        <v>1353</v>
      </c>
      <c r="H510">
        <v>56</v>
      </c>
    </row>
    <row r="511" spans="1:8" x14ac:dyDescent="0.25">
      <c r="A511">
        <v>3</v>
      </c>
      <c r="B511">
        <v>576749</v>
      </c>
      <c r="C511" t="s">
        <v>2</v>
      </c>
      <c r="D511">
        <v>766</v>
      </c>
      <c r="E511" s="11">
        <v>43739</v>
      </c>
      <c r="F511" s="38">
        <v>3064</v>
      </c>
      <c r="G511" s="38">
        <v>1149</v>
      </c>
      <c r="H511">
        <v>62.5</v>
      </c>
    </row>
    <row r="512" spans="1:8" x14ac:dyDescent="0.25">
      <c r="A512">
        <v>4</v>
      </c>
      <c r="B512">
        <v>581762</v>
      </c>
      <c r="C512" t="s">
        <v>5</v>
      </c>
      <c r="D512">
        <v>510</v>
      </c>
      <c r="E512" s="11">
        <v>43922</v>
      </c>
      <c r="F512" s="38">
        <v>3060</v>
      </c>
      <c r="G512" s="38">
        <v>1402.5</v>
      </c>
      <c r="H512">
        <v>54.17</v>
      </c>
    </row>
    <row r="513" spans="1:8" x14ac:dyDescent="0.25">
      <c r="A513">
        <v>5</v>
      </c>
      <c r="B513">
        <v>208723</v>
      </c>
      <c r="C513" t="s">
        <v>1</v>
      </c>
      <c r="D513">
        <v>1010</v>
      </c>
      <c r="E513" s="11">
        <v>44105</v>
      </c>
      <c r="F513" s="38">
        <v>3030</v>
      </c>
      <c r="G513" s="38">
        <v>1262.5</v>
      </c>
      <c r="H513">
        <v>58.33</v>
      </c>
    </row>
    <row r="514" spans="1:8" x14ac:dyDescent="0.25">
      <c r="A514">
        <v>5</v>
      </c>
      <c r="B514">
        <v>808356</v>
      </c>
      <c r="C514" t="s">
        <v>1</v>
      </c>
      <c r="D514">
        <v>1005</v>
      </c>
      <c r="E514" s="11">
        <v>43709</v>
      </c>
      <c r="F514" s="38">
        <v>3015</v>
      </c>
      <c r="G514" s="38">
        <v>1256.25</v>
      </c>
      <c r="H514">
        <v>58.33</v>
      </c>
    </row>
    <row r="515" spans="1:8" x14ac:dyDescent="0.25">
      <c r="A515">
        <v>2</v>
      </c>
      <c r="B515">
        <v>369627</v>
      </c>
      <c r="C515" t="s">
        <v>3</v>
      </c>
      <c r="D515">
        <v>602</v>
      </c>
      <c r="E515" s="11">
        <v>43983</v>
      </c>
      <c r="F515" s="38">
        <v>3010</v>
      </c>
      <c r="G515" s="38">
        <v>1204</v>
      </c>
      <c r="H515">
        <v>60</v>
      </c>
    </row>
    <row r="516" spans="1:8" x14ac:dyDescent="0.25">
      <c r="A516">
        <v>1</v>
      </c>
      <c r="B516">
        <v>600167</v>
      </c>
      <c r="C516" t="s">
        <v>5</v>
      </c>
      <c r="D516">
        <v>500</v>
      </c>
      <c r="E516" s="11">
        <v>43891</v>
      </c>
      <c r="F516" s="38">
        <v>3000</v>
      </c>
      <c r="G516" s="38">
        <v>1375</v>
      </c>
      <c r="H516">
        <v>54.17</v>
      </c>
    </row>
    <row r="517" spans="1:8" x14ac:dyDescent="0.25">
      <c r="A517">
        <v>3</v>
      </c>
      <c r="B517">
        <v>295198</v>
      </c>
      <c r="C517" t="s">
        <v>0</v>
      </c>
      <c r="D517">
        <v>2996</v>
      </c>
      <c r="E517" s="11">
        <v>43739</v>
      </c>
      <c r="F517" s="38">
        <v>2996</v>
      </c>
      <c r="G517" s="38">
        <v>1498</v>
      </c>
      <c r="H517">
        <v>50</v>
      </c>
    </row>
    <row r="518" spans="1:8" x14ac:dyDescent="0.25">
      <c r="A518">
        <v>5</v>
      </c>
      <c r="B518">
        <v>644686</v>
      </c>
      <c r="C518" t="s">
        <v>0</v>
      </c>
      <c r="D518">
        <v>2992</v>
      </c>
      <c r="E518" s="11">
        <v>43739</v>
      </c>
      <c r="F518" s="38">
        <v>2992</v>
      </c>
      <c r="G518" s="38">
        <v>1496</v>
      </c>
      <c r="H518">
        <v>50</v>
      </c>
    </row>
    <row r="519" spans="1:8" x14ac:dyDescent="0.25">
      <c r="A519">
        <v>1</v>
      </c>
      <c r="B519">
        <v>178855</v>
      </c>
      <c r="C519" t="s">
        <v>2</v>
      </c>
      <c r="D519">
        <v>743</v>
      </c>
      <c r="E519" s="11">
        <v>43922</v>
      </c>
      <c r="F519" s="38">
        <v>2970</v>
      </c>
      <c r="G519" s="38">
        <v>1113.75</v>
      </c>
      <c r="H519">
        <v>62.5</v>
      </c>
    </row>
    <row r="520" spans="1:8" x14ac:dyDescent="0.25">
      <c r="A520">
        <v>1</v>
      </c>
      <c r="B520">
        <v>305275</v>
      </c>
      <c r="C520" t="s">
        <v>1</v>
      </c>
      <c r="D520">
        <v>986</v>
      </c>
      <c r="E520" s="11">
        <v>44105</v>
      </c>
      <c r="F520" s="38">
        <v>2958</v>
      </c>
      <c r="G520" s="38">
        <v>1232.5</v>
      </c>
      <c r="H520">
        <v>58.33</v>
      </c>
    </row>
    <row r="521" spans="1:8" x14ac:dyDescent="0.25">
      <c r="A521">
        <v>2</v>
      </c>
      <c r="B521">
        <v>354480</v>
      </c>
      <c r="C521" t="s">
        <v>1</v>
      </c>
      <c r="D521">
        <v>986</v>
      </c>
      <c r="E521" s="11">
        <v>44075</v>
      </c>
      <c r="F521" s="38">
        <v>2958</v>
      </c>
      <c r="G521" s="38">
        <v>1232.5</v>
      </c>
      <c r="H521">
        <v>58.33</v>
      </c>
    </row>
    <row r="522" spans="1:8" x14ac:dyDescent="0.25">
      <c r="A522">
        <v>4</v>
      </c>
      <c r="B522">
        <v>197639</v>
      </c>
      <c r="C522" t="s">
        <v>3</v>
      </c>
      <c r="D522">
        <v>591</v>
      </c>
      <c r="E522" s="11">
        <v>43952</v>
      </c>
      <c r="F522" s="38">
        <v>2955</v>
      </c>
      <c r="G522" s="38">
        <v>1182</v>
      </c>
      <c r="H522">
        <v>60</v>
      </c>
    </row>
    <row r="523" spans="1:8" x14ac:dyDescent="0.25">
      <c r="A523">
        <v>5</v>
      </c>
      <c r="B523">
        <v>421883</v>
      </c>
      <c r="C523" t="s">
        <v>2</v>
      </c>
      <c r="D523">
        <v>727</v>
      </c>
      <c r="E523" s="11">
        <v>43862</v>
      </c>
      <c r="F523" s="38">
        <v>2908</v>
      </c>
      <c r="G523" s="38">
        <v>1090.5</v>
      </c>
      <c r="H523">
        <v>62.5</v>
      </c>
    </row>
    <row r="524" spans="1:8" x14ac:dyDescent="0.25">
      <c r="A524">
        <v>4</v>
      </c>
      <c r="B524">
        <v>884057</v>
      </c>
      <c r="C524" t="s">
        <v>4</v>
      </c>
      <c r="D524">
        <v>579</v>
      </c>
      <c r="E524" s="11">
        <v>43831</v>
      </c>
      <c r="F524" s="38">
        <v>2895</v>
      </c>
      <c r="G524" s="38">
        <v>1273.8</v>
      </c>
      <c r="H524">
        <v>56</v>
      </c>
    </row>
    <row r="525" spans="1:8" x14ac:dyDescent="0.25">
      <c r="A525">
        <v>5</v>
      </c>
      <c r="B525">
        <v>619210</v>
      </c>
      <c r="C525" t="s">
        <v>1</v>
      </c>
      <c r="D525">
        <v>959</v>
      </c>
      <c r="E525" s="11">
        <v>43862</v>
      </c>
      <c r="F525" s="38">
        <v>2877</v>
      </c>
      <c r="G525" s="38">
        <v>1198.75</v>
      </c>
      <c r="H525">
        <v>58.33</v>
      </c>
    </row>
    <row r="526" spans="1:8" x14ac:dyDescent="0.25">
      <c r="A526">
        <v>4</v>
      </c>
      <c r="B526">
        <v>868182</v>
      </c>
      <c r="C526" t="s">
        <v>3</v>
      </c>
      <c r="D526">
        <v>571</v>
      </c>
      <c r="E526" s="11">
        <v>44013</v>
      </c>
      <c r="F526" s="38">
        <v>2855</v>
      </c>
      <c r="G526" s="38">
        <v>1142</v>
      </c>
      <c r="H526">
        <v>60</v>
      </c>
    </row>
    <row r="527" spans="1:8" x14ac:dyDescent="0.25">
      <c r="A527">
        <v>3</v>
      </c>
      <c r="B527">
        <v>873031</v>
      </c>
      <c r="C527" t="s">
        <v>0</v>
      </c>
      <c r="D527">
        <v>2851</v>
      </c>
      <c r="E527" s="11">
        <v>43739</v>
      </c>
      <c r="F527" s="38">
        <v>2851</v>
      </c>
      <c r="G527" s="38">
        <v>1425.5</v>
      </c>
      <c r="H527">
        <v>50</v>
      </c>
    </row>
    <row r="528" spans="1:8" x14ac:dyDescent="0.25">
      <c r="A528">
        <v>2</v>
      </c>
      <c r="B528">
        <v>885051</v>
      </c>
      <c r="C528" t="s">
        <v>5</v>
      </c>
      <c r="D528">
        <v>472</v>
      </c>
      <c r="E528" s="11">
        <v>44105</v>
      </c>
      <c r="F528" s="38">
        <v>2832</v>
      </c>
      <c r="G528" s="38">
        <v>1298</v>
      </c>
      <c r="H528">
        <v>54.17</v>
      </c>
    </row>
    <row r="529" spans="1:8" x14ac:dyDescent="0.25">
      <c r="A529">
        <v>1</v>
      </c>
      <c r="B529">
        <v>540473</v>
      </c>
      <c r="C529" t="s">
        <v>1</v>
      </c>
      <c r="D529">
        <v>944</v>
      </c>
      <c r="E529" s="11">
        <v>43922</v>
      </c>
      <c r="F529" s="38">
        <v>2830.5</v>
      </c>
      <c r="G529" s="38">
        <v>1179.3800000000001</v>
      </c>
      <c r="H529">
        <v>58.33</v>
      </c>
    </row>
    <row r="530" spans="1:8" x14ac:dyDescent="0.25">
      <c r="A530">
        <v>3</v>
      </c>
      <c r="B530">
        <v>390387</v>
      </c>
      <c r="C530" t="s">
        <v>0</v>
      </c>
      <c r="D530">
        <v>2797</v>
      </c>
      <c r="E530" s="11">
        <v>44166</v>
      </c>
      <c r="F530" s="38">
        <v>2797</v>
      </c>
      <c r="G530" s="38">
        <v>1398.5</v>
      </c>
      <c r="H530">
        <v>50</v>
      </c>
    </row>
    <row r="531" spans="1:8" x14ac:dyDescent="0.25">
      <c r="A531">
        <v>4</v>
      </c>
      <c r="B531">
        <v>399302</v>
      </c>
      <c r="C531" t="s">
        <v>4</v>
      </c>
      <c r="D531">
        <v>552</v>
      </c>
      <c r="E531" s="11">
        <v>44044</v>
      </c>
      <c r="F531" s="38">
        <v>2760</v>
      </c>
      <c r="G531" s="38">
        <v>1214.4000000000001</v>
      </c>
      <c r="H531">
        <v>56</v>
      </c>
    </row>
    <row r="532" spans="1:8" x14ac:dyDescent="0.25">
      <c r="A532">
        <v>3</v>
      </c>
      <c r="B532">
        <v>745878</v>
      </c>
      <c r="C532" t="s">
        <v>2</v>
      </c>
      <c r="D532">
        <v>689</v>
      </c>
      <c r="E532" s="11">
        <v>43983</v>
      </c>
      <c r="F532" s="38">
        <v>2756</v>
      </c>
      <c r="G532" s="38">
        <v>1033.5</v>
      </c>
      <c r="H532">
        <v>62.5</v>
      </c>
    </row>
    <row r="533" spans="1:8" x14ac:dyDescent="0.25">
      <c r="A533">
        <v>1</v>
      </c>
      <c r="B533">
        <v>738711</v>
      </c>
      <c r="C533" t="s">
        <v>3</v>
      </c>
      <c r="D533">
        <v>549</v>
      </c>
      <c r="E533" s="11">
        <v>43709</v>
      </c>
      <c r="F533" s="38">
        <v>2745</v>
      </c>
      <c r="G533" s="38">
        <v>1098</v>
      </c>
      <c r="H533">
        <v>60</v>
      </c>
    </row>
    <row r="534" spans="1:8" x14ac:dyDescent="0.25">
      <c r="A534">
        <v>2</v>
      </c>
      <c r="B534">
        <v>533611</v>
      </c>
      <c r="C534" t="s">
        <v>0</v>
      </c>
      <c r="D534">
        <v>2734</v>
      </c>
      <c r="E534" s="11">
        <v>44105</v>
      </c>
      <c r="F534" s="38">
        <v>2734</v>
      </c>
      <c r="G534" s="38">
        <v>1367</v>
      </c>
      <c r="H534">
        <v>50</v>
      </c>
    </row>
    <row r="535" spans="1:8" x14ac:dyDescent="0.25">
      <c r="A535">
        <v>3</v>
      </c>
      <c r="B535">
        <v>578917</v>
      </c>
      <c r="C535" t="s">
        <v>4</v>
      </c>
      <c r="D535">
        <v>546</v>
      </c>
      <c r="E535" s="11">
        <v>44105</v>
      </c>
      <c r="F535" s="38">
        <v>2730</v>
      </c>
      <c r="G535" s="38">
        <v>1201.2</v>
      </c>
      <c r="H535">
        <v>56</v>
      </c>
    </row>
    <row r="536" spans="1:8" x14ac:dyDescent="0.25">
      <c r="A536">
        <v>5</v>
      </c>
      <c r="B536">
        <v>128675</v>
      </c>
      <c r="C536" t="s">
        <v>0</v>
      </c>
      <c r="D536">
        <v>2723</v>
      </c>
      <c r="E536" s="11">
        <v>44136</v>
      </c>
      <c r="F536" s="38">
        <v>2723</v>
      </c>
      <c r="G536" s="38">
        <v>1361.5</v>
      </c>
      <c r="H536">
        <v>50</v>
      </c>
    </row>
    <row r="537" spans="1:8" x14ac:dyDescent="0.25">
      <c r="A537">
        <v>4</v>
      </c>
      <c r="B537">
        <v>252717</v>
      </c>
      <c r="C537" t="s">
        <v>0</v>
      </c>
      <c r="D537">
        <v>2666</v>
      </c>
      <c r="E537" s="11">
        <v>44013</v>
      </c>
      <c r="F537" s="38">
        <v>2665.5</v>
      </c>
      <c r="G537" s="38">
        <v>1332.75</v>
      </c>
      <c r="H537">
        <v>50</v>
      </c>
    </row>
    <row r="538" spans="1:8" x14ac:dyDescent="0.25">
      <c r="A538">
        <v>3</v>
      </c>
      <c r="B538">
        <v>641259</v>
      </c>
      <c r="C538" t="s">
        <v>1</v>
      </c>
      <c r="D538">
        <v>888</v>
      </c>
      <c r="E538" s="11">
        <v>43983</v>
      </c>
      <c r="F538" s="38">
        <v>2664</v>
      </c>
      <c r="G538" s="38">
        <v>1110</v>
      </c>
      <c r="H538">
        <v>58.33</v>
      </c>
    </row>
    <row r="539" spans="1:8" x14ac:dyDescent="0.25">
      <c r="A539">
        <v>1</v>
      </c>
      <c r="B539">
        <v>200053</v>
      </c>
      <c r="C539" t="s">
        <v>0</v>
      </c>
      <c r="D539">
        <v>2661</v>
      </c>
      <c r="E539" s="11">
        <v>43952</v>
      </c>
      <c r="F539" s="38">
        <v>2661</v>
      </c>
      <c r="G539" s="38">
        <v>1330.5</v>
      </c>
      <c r="H539">
        <v>50</v>
      </c>
    </row>
    <row r="540" spans="1:8" x14ac:dyDescent="0.25">
      <c r="A540">
        <v>5</v>
      </c>
      <c r="B540">
        <v>273665</v>
      </c>
      <c r="C540" t="s">
        <v>2</v>
      </c>
      <c r="D540">
        <v>663</v>
      </c>
      <c r="E540" s="11">
        <v>43952</v>
      </c>
      <c r="F540" s="38">
        <v>2652</v>
      </c>
      <c r="G540" s="38">
        <v>994.5</v>
      </c>
      <c r="H540">
        <v>62.5</v>
      </c>
    </row>
    <row r="541" spans="1:8" x14ac:dyDescent="0.25">
      <c r="A541">
        <v>3</v>
      </c>
      <c r="B541">
        <v>747194</v>
      </c>
      <c r="C541" t="s">
        <v>1</v>
      </c>
      <c r="D541">
        <v>880</v>
      </c>
      <c r="E541" s="11">
        <v>43952</v>
      </c>
      <c r="F541" s="38">
        <v>2640</v>
      </c>
      <c r="G541" s="38">
        <v>1100</v>
      </c>
      <c r="H541">
        <v>58.33</v>
      </c>
    </row>
    <row r="542" spans="1:8" x14ac:dyDescent="0.25">
      <c r="A542">
        <v>3</v>
      </c>
      <c r="B542">
        <v>867837</v>
      </c>
      <c r="C542" t="s">
        <v>1</v>
      </c>
      <c r="D542">
        <v>877</v>
      </c>
      <c r="E542" s="11">
        <v>44136</v>
      </c>
      <c r="F542" s="38">
        <v>2631</v>
      </c>
      <c r="G542" s="38">
        <v>1096.25</v>
      </c>
      <c r="H542">
        <v>58.33</v>
      </c>
    </row>
    <row r="543" spans="1:8" x14ac:dyDescent="0.25">
      <c r="A543">
        <v>5</v>
      </c>
      <c r="B543">
        <v>818048</v>
      </c>
      <c r="C543" t="s">
        <v>1</v>
      </c>
      <c r="D543">
        <v>866</v>
      </c>
      <c r="E543" s="11">
        <v>43952</v>
      </c>
      <c r="F543" s="38">
        <v>2598</v>
      </c>
      <c r="G543" s="38">
        <v>1082.5</v>
      </c>
      <c r="H543">
        <v>58.33</v>
      </c>
    </row>
    <row r="544" spans="1:8" x14ac:dyDescent="0.25">
      <c r="A544">
        <v>1</v>
      </c>
      <c r="B544">
        <v>213778</v>
      </c>
      <c r="C544" t="s">
        <v>1</v>
      </c>
      <c r="D544">
        <v>866</v>
      </c>
      <c r="E544" s="11">
        <v>44013</v>
      </c>
      <c r="F544" s="38">
        <v>2596.5</v>
      </c>
      <c r="G544" s="38">
        <v>1081.8800000000001</v>
      </c>
      <c r="H544">
        <v>58.33</v>
      </c>
    </row>
    <row r="545" spans="1:8" x14ac:dyDescent="0.25">
      <c r="A545">
        <v>3</v>
      </c>
      <c r="B545">
        <v>830805</v>
      </c>
      <c r="C545" t="s">
        <v>0</v>
      </c>
      <c r="D545">
        <v>2518</v>
      </c>
      <c r="E545" s="11">
        <v>43983</v>
      </c>
      <c r="F545" s="38">
        <v>2518</v>
      </c>
      <c r="G545" s="38">
        <v>1259</v>
      </c>
      <c r="H545">
        <v>50</v>
      </c>
    </row>
    <row r="546" spans="1:8" x14ac:dyDescent="0.25">
      <c r="A546">
        <v>2</v>
      </c>
      <c r="B546">
        <v>179673</v>
      </c>
      <c r="C546" t="s">
        <v>0</v>
      </c>
      <c r="D546">
        <v>2501</v>
      </c>
      <c r="E546" s="11">
        <v>43891</v>
      </c>
      <c r="F546" s="38">
        <v>2501</v>
      </c>
      <c r="G546" s="38">
        <v>1250.5</v>
      </c>
      <c r="H546">
        <v>50</v>
      </c>
    </row>
    <row r="547" spans="1:8" x14ac:dyDescent="0.25">
      <c r="A547">
        <v>4</v>
      </c>
      <c r="B547">
        <v>443834</v>
      </c>
      <c r="C547" t="s">
        <v>0</v>
      </c>
      <c r="D547">
        <v>2500</v>
      </c>
      <c r="E547" s="11">
        <v>43770</v>
      </c>
      <c r="F547" s="38">
        <v>2500</v>
      </c>
      <c r="G547" s="38">
        <v>1250</v>
      </c>
      <c r="H547">
        <v>50</v>
      </c>
    </row>
    <row r="548" spans="1:8" x14ac:dyDescent="0.25">
      <c r="A548">
        <v>3</v>
      </c>
      <c r="B548">
        <v>539666</v>
      </c>
      <c r="C548" t="s">
        <v>0</v>
      </c>
      <c r="D548">
        <v>2498</v>
      </c>
      <c r="E548" s="11">
        <v>43709</v>
      </c>
      <c r="F548" s="38">
        <v>2498</v>
      </c>
      <c r="G548" s="38">
        <v>1249</v>
      </c>
      <c r="H548">
        <v>50</v>
      </c>
    </row>
    <row r="549" spans="1:8" x14ac:dyDescent="0.25">
      <c r="A549">
        <v>4</v>
      </c>
      <c r="B549">
        <v>249098</v>
      </c>
      <c r="C549" t="s">
        <v>0</v>
      </c>
      <c r="D549">
        <v>2470</v>
      </c>
      <c r="E549" s="11">
        <v>43983</v>
      </c>
      <c r="F549" s="38">
        <v>2470</v>
      </c>
      <c r="G549" s="38">
        <v>1235</v>
      </c>
      <c r="H549">
        <v>50</v>
      </c>
    </row>
    <row r="550" spans="1:8" x14ac:dyDescent="0.25">
      <c r="A550">
        <v>1</v>
      </c>
      <c r="B550">
        <v>617339</v>
      </c>
      <c r="C550" t="s">
        <v>5</v>
      </c>
      <c r="D550">
        <v>410</v>
      </c>
      <c r="E550" s="11">
        <v>44105</v>
      </c>
      <c r="F550" s="38">
        <v>2460</v>
      </c>
      <c r="G550" s="38">
        <v>1127.5</v>
      </c>
      <c r="H550">
        <v>54.17</v>
      </c>
    </row>
    <row r="551" spans="1:8" x14ac:dyDescent="0.25">
      <c r="A551">
        <v>3</v>
      </c>
      <c r="B551">
        <v>451947</v>
      </c>
      <c r="C551" t="s">
        <v>1</v>
      </c>
      <c r="D551">
        <v>808</v>
      </c>
      <c r="E551" s="11">
        <v>43800</v>
      </c>
      <c r="F551" s="38">
        <v>2424</v>
      </c>
      <c r="G551" s="38">
        <v>1010</v>
      </c>
      <c r="H551">
        <v>58.33</v>
      </c>
    </row>
    <row r="552" spans="1:8" x14ac:dyDescent="0.25">
      <c r="A552">
        <v>4</v>
      </c>
      <c r="B552">
        <v>741765</v>
      </c>
      <c r="C552" t="s">
        <v>0</v>
      </c>
      <c r="D552">
        <v>2420</v>
      </c>
      <c r="E552" s="11">
        <v>44075</v>
      </c>
      <c r="F552" s="38">
        <v>2420</v>
      </c>
      <c r="G552" s="38">
        <v>1210</v>
      </c>
      <c r="H552">
        <v>50</v>
      </c>
    </row>
    <row r="553" spans="1:8" x14ac:dyDescent="0.25">
      <c r="A553">
        <v>3</v>
      </c>
      <c r="B553">
        <v>460452</v>
      </c>
      <c r="C553" t="s">
        <v>1</v>
      </c>
      <c r="D553">
        <v>787</v>
      </c>
      <c r="E553" s="11">
        <v>43983</v>
      </c>
      <c r="F553" s="38">
        <v>2361</v>
      </c>
      <c r="G553" s="38">
        <v>983.75</v>
      </c>
      <c r="H553">
        <v>58.33</v>
      </c>
    </row>
    <row r="554" spans="1:8" x14ac:dyDescent="0.25">
      <c r="A554">
        <v>4</v>
      </c>
      <c r="B554">
        <v>323754</v>
      </c>
      <c r="C554" t="s">
        <v>4</v>
      </c>
      <c r="D554">
        <v>472</v>
      </c>
      <c r="E554" s="11">
        <v>44105</v>
      </c>
      <c r="F554" s="38">
        <v>2360</v>
      </c>
      <c r="G554" s="38">
        <v>1038.4000000000001</v>
      </c>
      <c r="H554">
        <v>56</v>
      </c>
    </row>
    <row r="555" spans="1:8" x14ac:dyDescent="0.25">
      <c r="A555">
        <v>1</v>
      </c>
      <c r="B555">
        <v>818777</v>
      </c>
      <c r="C555" t="s">
        <v>0</v>
      </c>
      <c r="D555">
        <v>2342</v>
      </c>
      <c r="E555" s="11">
        <v>44136</v>
      </c>
      <c r="F555" s="38">
        <v>2342</v>
      </c>
      <c r="G555" s="38">
        <v>1171</v>
      </c>
      <c r="H555">
        <v>50</v>
      </c>
    </row>
    <row r="556" spans="1:8" x14ac:dyDescent="0.25">
      <c r="A556">
        <v>4</v>
      </c>
      <c r="B556">
        <v>454312</v>
      </c>
      <c r="C556" t="s">
        <v>0</v>
      </c>
      <c r="D556">
        <v>2342</v>
      </c>
      <c r="E556" s="11">
        <v>44136</v>
      </c>
      <c r="F556" s="38">
        <v>2342</v>
      </c>
      <c r="G556" s="38">
        <v>1171</v>
      </c>
      <c r="H556">
        <v>50</v>
      </c>
    </row>
    <row r="557" spans="1:8" x14ac:dyDescent="0.25">
      <c r="A557">
        <v>2</v>
      </c>
      <c r="B557">
        <v>336365</v>
      </c>
      <c r="C557" t="s">
        <v>0</v>
      </c>
      <c r="D557">
        <v>2340</v>
      </c>
      <c r="E557" s="11">
        <v>43831</v>
      </c>
      <c r="F557" s="38">
        <v>2340</v>
      </c>
      <c r="G557" s="38">
        <v>1170</v>
      </c>
      <c r="H557">
        <v>50</v>
      </c>
    </row>
    <row r="558" spans="1:8" x14ac:dyDescent="0.25">
      <c r="A558">
        <v>3</v>
      </c>
      <c r="B558">
        <v>724808</v>
      </c>
      <c r="C558" t="s">
        <v>0</v>
      </c>
      <c r="D558">
        <v>2328</v>
      </c>
      <c r="E558" s="11">
        <v>44075</v>
      </c>
      <c r="F558" s="38">
        <v>2328</v>
      </c>
      <c r="G558" s="38">
        <v>1164</v>
      </c>
      <c r="H558">
        <v>50</v>
      </c>
    </row>
    <row r="559" spans="1:8" x14ac:dyDescent="0.25">
      <c r="A559">
        <v>4</v>
      </c>
      <c r="B559">
        <v>272243</v>
      </c>
      <c r="C559" t="s">
        <v>0</v>
      </c>
      <c r="D559">
        <v>2321</v>
      </c>
      <c r="E559" s="11">
        <v>44136</v>
      </c>
      <c r="F559" s="38">
        <v>2321</v>
      </c>
      <c r="G559" s="38">
        <v>1160.5</v>
      </c>
      <c r="H559">
        <v>50</v>
      </c>
    </row>
    <row r="560" spans="1:8" x14ac:dyDescent="0.25">
      <c r="A560">
        <v>4</v>
      </c>
      <c r="B560">
        <v>289924</v>
      </c>
      <c r="C560" t="s">
        <v>5</v>
      </c>
      <c r="D560">
        <v>386</v>
      </c>
      <c r="E560" s="11">
        <v>43770</v>
      </c>
      <c r="F560" s="38">
        <v>2316</v>
      </c>
      <c r="G560" s="38">
        <v>1061.5</v>
      </c>
      <c r="H560">
        <v>54.17</v>
      </c>
    </row>
    <row r="561" spans="1:8" x14ac:dyDescent="0.25">
      <c r="A561">
        <v>3</v>
      </c>
      <c r="B561">
        <v>561083</v>
      </c>
      <c r="C561" t="s">
        <v>0</v>
      </c>
      <c r="D561">
        <v>2313</v>
      </c>
      <c r="E561" s="11">
        <v>43952</v>
      </c>
      <c r="F561" s="38">
        <v>2313</v>
      </c>
      <c r="G561" s="38">
        <v>1156.5</v>
      </c>
      <c r="H561">
        <v>50</v>
      </c>
    </row>
    <row r="562" spans="1:8" x14ac:dyDescent="0.25">
      <c r="A562">
        <v>3</v>
      </c>
      <c r="B562">
        <v>120418</v>
      </c>
      <c r="C562" t="s">
        <v>5</v>
      </c>
      <c r="D562">
        <v>384</v>
      </c>
      <c r="E562" s="11">
        <v>43831</v>
      </c>
      <c r="F562" s="38">
        <v>2304</v>
      </c>
      <c r="G562" s="38">
        <v>1056</v>
      </c>
      <c r="H562">
        <v>54.17</v>
      </c>
    </row>
    <row r="563" spans="1:8" x14ac:dyDescent="0.25">
      <c r="A563">
        <v>4</v>
      </c>
      <c r="B563">
        <v>142538</v>
      </c>
      <c r="C563" t="s">
        <v>0</v>
      </c>
      <c r="D563">
        <v>2301</v>
      </c>
      <c r="E563" s="11">
        <v>43922</v>
      </c>
      <c r="F563" s="38">
        <v>2301</v>
      </c>
      <c r="G563" s="38">
        <v>1150.5</v>
      </c>
      <c r="H563">
        <v>50</v>
      </c>
    </row>
    <row r="564" spans="1:8" x14ac:dyDescent="0.25">
      <c r="A564">
        <v>3</v>
      </c>
      <c r="B564">
        <v>138137</v>
      </c>
      <c r="C564" t="s">
        <v>0</v>
      </c>
      <c r="D564">
        <v>2300</v>
      </c>
      <c r="E564" s="11">
        <v>44166</v>
      </c>
      <c r="F564" s="38">
        <v>2300</v>
      </c>
      <c r="G564" s="38">
        <v>1150</v>
      </c>
      <c r="H564">
        <v>50</v>
      </c>
    </row>
    <row r="565" spans="1:8" x14ac:dyDescent="0.25">
      <c r="A565">
        <v>2</v>
      </c>
      <c r="B565">
        <v>539656</v>
      </c>
      <c r="C565" t="s">
        <v>2</v>
      </c>
      <c r="D565">
        <v>570</v>
      </c>
      <c r="E565" s="11">
        <v>44166</v>
      </c>
      <c r="F565" s="38">
        <v>2280</v>
      </c>
      <c r="G565" s="38">
        <v>855</v>
      </c>
      <c r="H565">
        <v>62.5</v>
      </c>
    </row>
    <row r="566" spans="1:8" x14ac:dyDescent="0.25">
      <c r="A566">
        <v>3</v>
      </c>
      <c r="B566">
        <v>434964</v>
      </c>
      <c r="C566" t="s">
        <v>0</v>
      </c>
      <c r="D566">
        <v>2255</v>
      </c>
      <c r="E566" s="11">
        <v>44013</v>
      </c>
      <c r="F566" s="38">
        <v>2255</v>
      </c>
      <c r="G566" s="38">
        <v>1127.5</v>
      </c>
      <c r="H566">
        <v>50</v>
      </c>
    </row>
    <row r="567" spans="1:8" x14ac:dyDescent="0.25">
      <c r="A567">
        <v>4</v>
      </c>
      <c r="B567">
        <v>443447</v>
      </c>
      <c r="C567" t="s">
        <v>2</v>
      </c>
      <c r="D567">
        <v>562</v>
      </c>
      <c r="E567" s="11">
        <v>44075</v>
      </c>
      <c r="F567" s="38">
        <v>2248</v>
      </c>
      <c r="G567" s="38">
        <v>843</v>
      </c>
      <c r="H567">
        <v>62.5</v>
      </c>
    </row>
    <row r="568" spans="1:8" x14ac:dyDescent="0.25">
      <c r="A568">
        <v>1</v>
      </c>
      <c r="B568">
        <v>807061</v>
      </c>
      <c r="C568" t="s">
        <v>3</v>
      </c>
      <c r="D568">
        <v>448</v>
      </c>
      <c r="E568" s="11">
        <v>43983</v>
      </c>
      <c r="F568" s="38">
        <v>2240</v>
      </c>
      <c r="G568" s="38">
        <v>896</v>
      </c>
      <c r="H568">
        <v>60</v>
      </c>
    </row>
    <row r="569" spans="1:8" x14ac:dyDescent="0.25">
      <c r="A569">
        <v>5</v>
      </c>
      <c r="B569">
        <v>529423</v>
      </c>
      <c r="C569" t="s">
        <v>0</v>
      </c>
      <c r="D569">
        <v>2228</v>
      </c>
      <c r="E569" s="11">
        <v>43831</v>
      </c>
      <c r="F569" s="38">
        <v>2227.5</v>
      </c>
      <c r="G569" s="38">
        <v>1113.75</v>
      </c>
      <c r="H569">
        <v>50</v>
      </c>
    </row>
    <row r="570" spans="1:8" x14ac:dyDescent="0.25">
      <c r="A570">
        <v>2</v>
      </c>
      <c r="B570">
        <v>353832</v>
      </c>
      <c r="C570" t="s">
        <v>0</v>
      </c>
      <c r="D570">
        <v>2214</v>
      </c>
      <c r="E570" s="11">
        <v>43891</v>
      </c>
      <c r="F570" s="38">
        <v>2214</v>
      </c>
      <c r="G570" s="38">
        <v>1107</v>
      </c>
      <c r="H570">
        <v>50</v>
      </c>
    </row>
    <row r="571" spans="1:8" x14ac:dyDescent="0.25">
      <c r="A571">
        <v>1</v>
      </c>
      <c r="B571">
        <v>327845</v>
      </c>
      <c r="C571" t="s">
        <v>1</v>
      </c>
      <c r="D571">
        <v>727</v>
      </c>
      <c r="E571" s="11">
        <v>43983</v>
      </c>
      <c r="F571" s="38">
        <v>2181</v>
      </c>
      <c r="G571" s="38">
        <v>908.75</v>
      </c>
      <c r="H571">
        <v>58.33</v>
      </c>
    </row>
    <row r="572" spans="1:8" x14ac:dyDescent="0.25">
      <c r="A572">
        <v>1</v>
      </c>
      <c r="B572">
        <v>444955</v>
      </c>
      <c r="C572" t="s">
        <v>0</v>
      </c>
      <c r="D572">
        <v>2181</v>
      </c>
      <c r="E572" s="11">
        <v>44105</v>
      </c>
      <c r="F572" s="38">
        <v>2181</v>
      </c>
      <c r="G572" s="38">
        <v>1090.5</v>
      </c>
      <c r="H572">
        <v>50</v>
      </c>
    </row>
    <row r="573" spans="1:8" x14ac:dyDescent="0.25">
      <c r="A573">
        <v>1</v>
      </c>
      <c r="B573">
        <v>729194</v>
      </c>
      <c r="C573" t="s">
        <v>5</v>
      </c>
      <c r="D573">
        <v>362</v>
      </c>
      <c r="E573" s="11">
        <v>43952</v>
      </c>
      <c r="F573" s="38">
        <v>2172</v>
      </c>
      <c r="G573" s="38">
        <v>995.5</v>
      </c>
      <c r="H573">
        <v>54.17</v>
      </c>
    </row>
    <row r="574" spans="1:8" x14ac:dyDescent="0.25">
      <c r="A574">
        <v>1</v>
      </c>
      <c r="B574">
        <v>881771</v>
      </c>
      <c r="C574" t="s">
        <v>0</v>
      </c>
      <c r="D574">
        <v>2157</v>
      </c>
      <c r="E574" s="11">
        <v>44166</v>
      </c>
      <c r="F574" s="38">
        <v>2157</v>
      </c>
      <c r="G574" s="38">
        <v>1078.5</v>
      </c>
      <c r="H574">
        <v>50</v>
      </c>
    </row>
    <row r="575" spans="1:8" x14ac:dyDescent="0.25">
      <c r="A575">
        <v>4</v>
      </c>
      <c r="B575">
        <v>366159</v>
      </c>
      <c r="C575" t="s">
        <v>0</v>
      </c>
      <c r="D575">
        <v>2146</v>
      </c>
      <c r="E575" s="11">
        <v>44075</v>
      </c>
      <c r="F575" s="38">
        <v>2146</v>
      </c>
      <c r="G575" s="38">
        <v>1073</v>
      </c>
      <c r="H575">
        <v>50</v>
      </c>
    </row>
    <row r="576" spans="1:8" x14ac:dyDescent="0.25">
      <c r="A576">
        <v>2</v>
      </c>
      <c r="B576">
        <v>361276</v>
      </c>
      <c r="C576" t="s">
        <v>2</v>
      </c>
      <c r="D576">
        <v>521</v>
      </c>
      <c r="E576" s="11">
        <v>44166</v>
      </c>
      <c r="F576" s="38">
        <v>2084</v>
      </c>
      <c r="G576" s="38">
        <v>781.5</v>
      </c>
      <c r="H576">
        <v>62.5</v>
      </c>
    </row>
    <row r="577" spans="1:8" x14ac:dyDescent="0.25">
      <c r="A577">
        <v>5</v>
      </c>
      <c r="B577">
        <v>742570</v>
      </c>
      <c r="C577" t="s">
        <v>0</v>
      </c>
      <c r="D577">
        <v>2072</v>
      </c>
      <c r="E577" s="11">
        <v>44166</v>
      </c>
      <c r="F577" s="38">
        <v>2072</v>
      </c>
      <c r="G577" s="38">
        <v>1036</v>
      </c>
      <c r="H577">
        <v>50</v>
      </c>
    </row>
    <row r="578" spans="1:8" x14ac:dyDescent="0.25">
      <c r="A578">
        <v>3</v>
      </c>
      <c r="B578">
        <v>725066</v>
      </c>
      <c r="C578" t="s">
        <v>5</v>
      </c>
      <c r="D578">
        <v>345</v>
      </c>
      <c r="E578" s="11">
        <v>43739</v>
      </c>
      <c r="F578" s="38">
        <v>2070</v>
      </c>
      <c r="G578" s="38">
        <v>948.75</v>
      </c>
      <c r="H578">
        <v>54.17</v>
      </c>
    </row>
    <row r="579" spans="1:8" x14ac:dyDescent="0.25">
      <c r="A579">
        <v>5</v>
      </c>
      <c r="B579">
        <v>403071</v>
      </c>
      <c r="C579" t="s">
        <v>5</v>
      </c>
      <c r="D579">
        <v>344</v>
      </c>
      <c r="E579" s="11">
        <v>43739</v>
      </c>
      <c r="F579" s="38">
        <v>2064</v>
      </c>
      <c r="G579" s="38">
        <v>946</v>
      </c>
      <c r="H579">
        <v>54.17</v>
      </c>
    </row>
    <row r="580" spans="1:8" x14ac:dyDescent="0.25">
      <c r="A580">
        <v>1</v>
      </c>
      <c r="B580">
        <v>148871</v>
      </c>
      <c r="C580" t="s">
        <v>4</v>
      </c>
      <c r="D580">
        <v>410</v>
      </c>
      <c r="E580" s="11">
        <v>44105</v>
      </c>
      <c r="F580" s="38">
        <v>2050</v>
      </c>
      <c r="G580" s="38">
        <v>902</v>
      </c>
      <c r="H580">
        <v>56</v>
      </c>
    </row>
    <row r="581" spans="1:8" x14ac:dyDescent="0.25">
      <c r="A581">
        <v>1</v>
      </c>
      <c r="B581">
        <v>801641</v>
      </c>
      <c r="C581" t="s">
        <v>0</v>
      </c>
      <c r="D581">
        <v>2031</v>
      </c>
      <c r="E581" s="11">
        <v>44105</v>
      </c>
      <c r="F581" s="38">
        <v>2031</v>
      </c>
      <c r="G581" s="38">
        <v>1015.5</v>
      </c>
      <c r="H581">
        <v>50</v>
      </c>
    </row>
    <row r="582" spans="1:8" x14ac:dyDescent="0.25">
      <c r="A582">
        <v>4</v>
      </c>
      <c r="B582">
        <v>574744</v>
      </c>
      <c r="C582" t="s">
        <v>0</v>
      </c>
      <c r="D582">
        <v>2021</v>
      </c>
      <c r="E582" s="11">
        <v>44105</v>
      </c>
      <c r="F582" s="38">
        <v>2021</v>
      </c>
      <c r="G582" s="38">
        <v>1010.5</v>
      </c>
      <c r="H582">
        <v>50</v>
      </c>
    </row>
    <row r="583" spans="1:8" x14ac:dyDescent="0.25">
      <c r="A583">
        <v>5</v>
      </c>
      <c r="B583">
        <v>160577</v>
      </c>
      <c r="C583" t="s">
        <v>1</v>
      </c>
      <c r="D583">
        <v>662</v>
      </c>
      <c r="E583" s="11">
        <v>43983</v>
      </c>
      <c r="F583" s="38">
        <v>1986</v>
      </c>
      <c r="G583" s="38">
        <v>827.5</v>
      </c>
      <c r="H583">
        <v>58.33</v>
      </c>
    </row>
    <row r="584" spans="1:8" x14ac:dyDescent="0.25">
      <c r="A584">
        <v>4</v>
      </c>
      <c r="B584">
        <v>757336</v>
      </c>
      <c r="C584" t="s">
        <v>0</v>
      </c>
      <c r="D584">
        <v>1976</v>
      </c>
      <c r="E584" s="11">
        <v>44105</v>
      </c>
      <c r="F584" s="38">
        <v>1976</v>
      </c>
      <c r="G584" s="38">
        <v>988</v>
      </c>
      <c r="H584">
        <v>50</v>
      </c>
    </row>
    <row r="585" spans="1:8" x14ac:dyDescent="0.25">
      <c r="A585">
        <v>5</v>
      </c>
      <c r="B585">
        <v>238485</v>
      </c>
      <c r="C585" t="s">
        <v>2</v>
      </c>
      <c r="D585">
        <v>494</v>
      </c>
      <c r="E585" s="11">
        <v>43739</v>
      </c>
      <c r="F585" s="38">
        <v>1976</v>
      </c>
      <c r="G585" s="38">
        <v>741</v>
      </c>
      <c r="H585">
        <v>62.5</v>
      </c>
    </row>
    <row r="586" spans="1:8" x14ac:dyDescent="0.25">
      <c r="A586">
        <v>4</v>
      </c>
      <c r="B586">
        <v>823953</v>
      </c>
      <c r="C586" t="s">
        <v>0</v>
      </c>
      <c r="D586">
        <v>1967</v>
      </c>
      <c r="E586" s="11">
        <v>43891</v>
      </c>
      <c r="F586" s="38">
        <v>1967</v>
      </c>
      <c r="G586" s="38">
        <v>983.5</v>
      </c>
      <c r="H586">
        <v>50</v>
      </c>
    </row>
    <row r="587" spans="1:8" x14ac:dyDescent="0.25">
      <c r="A587">
        <v>2</v>
      </c>
      <c r="B587">
        <v>297812</v>
      </c>
      <c r="C587" t="s">
        <v>2</v>
      </c>
      <c r="D587">
        <v>490</v>
      </c>
      <c r="E587" s="11">
        <v>44136</v>
      </c>
      <c r="F587" s="38">
        <v>1960</v>
      </c>
      <c r="G587" s="38">
        <v>735</v>
      </c>
      <c r="H587">
        <v>62.5</v>
      </c>
    </row>
    <row r="588" spans="1:8" x14ac:dyDescent="0.25">
      <c r="A588">
        <v>5</v>
      </c>
      <c r="B588">
        <v>570270</v>
      </c>
      <c r="C588" t="s">
        <v>0</v>
      </c>
      <c r="D588">
        <v>1958</v>
      </c>
      <c r="E588" s="11">
        <v>43862</v>
      </c>
      <c r="F588" s="38">
        <v>1958</v>
      </c>
      <c r="G588" s="38">
        <v>979</v>
      </c>
      <c r="H588">
        <v>50</v>
      </c>
    </row>
    <row r="589" spans="1:8" x14ac:dyDescent="0.25">
      <c r="A589">
        <v>3</v>
      </c>
      <c r="B589">
        <v>686651</v>
      </c>
      <c r="C589" t="s">
        <v>3</v>
      </c>
      <c r="D589">
        <v>386</v>
      </c>
      <c r="E589" s="11">
        <v>43739</v>
      </c>
      <c r="F589" s="38">
        <v>1930</v>
      </c>
      <c r="G589" s="38">
        <v>772</v>
      </c>
      <c r="H589">
        <v>60</v>
      </c>
    </row>
    <row r="590" spans="1:8" x14ac:dyDescent="0.25">
      <c r="A590">
        <v>1</v>
      </c>
      <c r="B590">
        <v>485947</v>
      </c>
      <c r="C590" t="s">
        <v>1</v>
      </c>
      <c r="D590">
        <v>641</v>
      </c>
      <c r="E590" s="11">
        <v>44013</v>
      </c>
      <c r="F590" s="38">
        <v>1923</v>
      </c>
      <c r="G590" s="38">
        <v>801.25</v>
      </c>
      <c r="H590">
        <v>58.33</v>
      </c>
    </row>
    <row r="591" spans="1:8" x14ac:dyDescent="0.25">
      <c r="A591">
        <v>2</v>
      </c>
      <c r="B591">
        <v>445507</v>
      </c>
      <c r="C591" t="s">
        <v>0</v>
      </c>
      <c r="D591">
        <v>1901</v>
      </c>
      <c r="E591" s="11">
        <v>43983</v>
      </c>
      <c r="F591" s="38">
        <v>1901</v>
      </c>
      <c r="G591" s="38">
        <v>950.5</v>
      </c>
      <c r="H591">
        <v>50</v>
      </c>
    </row>
    <row r="592" spans="1:8" x14ac:dyDescent="0.25">
      <c r="A592">
        <v>3</v>
      </c>
      <c r="B592">
        <v>607709</v>
      </c>
      <c r="C592" t="s">
        <v>3</v>
      </c>
      <c r="D592">
        <v>380</v>
      </c>
      <c r="E592" s="11">
        <v>43709</v>
      </c>
      <c r="F592" s="38">
        <v>1900</v>
      </c>
      <c r="G592" s="38">
        <v>760</v>
      </c>
      <c r="H592">
        <v>60</v>
      </c>
    </row>
    <row r="593" spans="1:8" x14ac:dyDescent="0.25">
      <c r="A593">
        <v>4</v>
      </c>
      <c r="B593">
        <v>737790</v>
      </c>
      <c r="C593" t="s">
        <v>3</v>
      </c>
      <c r="D593">
        <v>380</v>
      </c>
      <c r="E593" s="11">
        <v>43800</v>
      </c>
      <c r="F593" s="38">
        <v>1900</v>
      </c>
      <c r="G593" s="38">
        <v>760</v>
      </c>
      <c r="H593">
        <v>60</v>
      </c>
    </row>
    <row r="594" spans="1:8" x14ac:dyDescent="0.25">
      <c r="A594">
        <v>5</v>
      </c>
      <c r="B594">
        <v>138739</v>
      </c>
      <c r="C594" t="s">
        <v>0</v>
      </c>
      <c r="D594">
        <v>1899</v>
      </c>
      <c r="E594" s="11">
        <v>43983</v>
      </c>
      <c r="F594" s="38">
        <v>1899</v>
      </c>
      <c r="G594" s="38">
        <v>949.5</v>
      </c>
      <c r="H594">
        <v>50</v>
      </c>
    </row>
    <row r="595" spans="1:8" x14ac:dyDescent="0.25">
      <c r="A595">
        <v>4</v>
      </c>
      <c r="B595">
        <v>362208</v>
      </c>
      <c r="C595" t="s">
        <v>1</v>
      </c>
      <c r="D595">
        <v>623</v>
      </c>
      <c r="E595" s="11">
        <v>43709</v>
      </c>
      <c r="F595" s="38">
        <v>1869</v>
      </c>
      <c r="G595" s="38">
        <v>778.75</v>
      </c>
      <c r="H595">
        <v>58.33</v>
      </c>
    </row>
    <row r="596" spans="1:8" x14ac:dyDescent="0.25">
      <c r="A596">
        <v>3</v>
      </c>
      <c r="B596">
        <v>539522</v>
      </c>
      <c r="C596" t="s">
        <v>0</v>
      </c>
      <c r="D596">
        <v>1859</v>
      </c>
      <c r="E596" s="11">
        <v>44044</v>
      </c>
      <c r="F596" s="38">
        <v>1859</v>
      </c>
      <c r="G596" s="38">
        <v>929.5</v>
      </c>
      <c r="H596">
        <v>50</v>
      </c>
    </row>
    <row r="597" spans="1:8" x14ac:dyDescent="0.25">
      <c r="A597">
        <v>3</v>
      </c>
      <c r="B597">
        <v>431913</v>
      </c>
      <c r="C597" t="s">
        <v>0</v>
      </c>
      <c r="D597">
        <v>1857</v>
      </c>
      <c r="E597" s="11">
        <v>43770</v>
      </c>
      <c r="F597" s="38">
        <v>1857</v>
      </c>
      <c r="G597" s="38">
        <v>928.5</v>
      </c>
      <c r="H597">
        <v>50</v>
      </c>
    </row>
    <row r="598" spans="1:8" x14ac:dyDescent="0.25">
      <c r="A598">
        <v>2</v>
      </c>
      <c r="B598">
        <v>266313</v>
      </c>
      <c r="C598" t="s">
        <v>3</v>
      </c>
      <c r="D598">
        <v>367</v>
      </c>
      <c r="E598" s="11">
        <v>43739</v>
      </c>
      <c r="F598" s="38">
        <v>1835</v>
      </c>
      <c r="G598" s="38">
        <v>734</v>
      </c>
      <c r="H598">
        <v>60</v>
      </c>
    </row>
    <row r="599" spans="1:8" x14ac:dyDescent="0.25">
      <c r="A599">
        <v>2</v>
      </c>
      <c r="B599">
        <v>898637</v>
      </c>
      <c r="C599" t="s">
        <v>3</v>
      </c>
      <c r="D599">
        <v>367</v>
      </c>
      <c r="E599" s="11">
        <v>44013</v>
      </c>
      <c r="F599" s="38">
        <v>1835</v>
      </c>
      <c r="G599" s="38">
        <v>734</v>
      </c>
      <c r="H599">
        <v>60</v>
      </c>
    </row>
    <row r="600" spans="1:8" x14ac:dyDescent="0.25">
      <c r="A600">
        <v>4</v>
      </c>
      <c r="B600">
        <v>459280</v>
      </c>
      <c r="C600" t="s">
        <v>0</v>
      </c>
      <c r="D600">
        <v>1830</v>
      </c>
      <c r="E600" s="11">
        <v>44044</v>
      </c>
      <c r="F600" s="38">
        <v>1830</v>
      </c>
      <c r="G600" s="38">
        <v>915</v>
      </c>
      <c r="H600">
        <v>50</v>
      </c>
    </row>
    <row r="601" spans="1:8" x14ac:dyDescent="0.25">
      <c r="A601">
        <v>5</v>
      </c>
      <c r="B601">
        <v>352793</v>
      </c>
      <c r="C601" t="s">
        <v>0</v>
      </c>
      <c r="D601">
        <v>1804</v>
      </c>
      <c r="E601" s="11">
        <v>43770</v>
      </c>
      <c r="F601" s="38">
        <v>1804</v>
      </c>
      <c r="G601" s="38">
        <v>902</v>
      </c>
      <c r="H601">
        <v>50</v>
      </c>
    </row>
    <row r="602" spans="1:8" x14ac:dyDescent="0.25">
      <c r="A602">
        <v>2</v>
      </c>
      <c r="B602">
        <v>336267</v>
      </c>
      <c r="C602" t="s">
        <v>3</v>
      </c>
      <c r="D602">
        <v>360</v>
      </c>
      <c r="E602" s="11">
        <v>44105</v>
      </c>
      <c r="F602" s="38">
        <v>1800</v>
      </c>
      <c r="G602" s="38">
        <v>720</v>
      </c>
      <c r="H602">
        <v>60</v>
      </c>
    </row>
    <row r="603" spans="1:8" x14ac:dyDescent="0.25">
      <c r="A603">
        <v>5</v>
      </c>
      <c r="B603">
        <v>806978</v>
      </c>
      <c r="C603" t="s">
        <v>0</v>
      </c>
      <c r="D603">
        <v>1797</v>
      </c>
      <c r="E603" s="11">
        <v>43709</v>
      </c>
      <c r="F603" s="38">
        <v>1797</v>
      </c>
      <c r="G603" s="38">
        <v>898.5</v>
      </c>
      <c r="H603">
        <v>50</v>
      </c>
    </row>
    <row r="604" spans="1:8" x14ac:dyDescent="0.25">
      <c r="A604">
        <v>5</v>
      </c>
      <c r="B604">
        <v>115306</v>
      </c>
      <c r="C604" t="s">
        <v>2</v>
      </c>
      <c r="D604">
        <v>448</v>
      </c>
      <c r="E604" s="11">
        <v>43983</v>
      </c>
      <c r="F604" s="38">
        <v>1792</v>
      </c>
      <c r="G604" s="38">
        <v>672</v>
      </c>
      <c r="H604">
        <v>62.5</v>
      </c>
    </row>
    <row r="605" spans="1:8" x14ac:dyDescent="0.25">
      <c r="A605">
        <v>3</v>
      </c>
      <c r="B605">
        <v>448428</v>
      </c>
      <c r="C605" t="s">
        <v>3</v>
      </c>
      <c r="D605">
        <v>357</v>
      </c>
      <c r="E605" s="11">
        <v>44136</v>
      </c>
      <c r="F605" s="38">
        <v>1785</v>
      </c>
      <c r="G605" s="38">
        <v>714</v>
      </c>
      <c r="H605">
        <v>60</v>
      </c>
    </row>
    <row r="606" spans="1:8" x14ac:dyDescent="0.25">
      <c r="A606">
        <v>2</v>
      </c>
      <c r="B606">
        <v>433556</v>
      </c>
      <c r="C606" t="s">
        <v>0</v>
      </c>
      <c r="D606">
        <v>1773</v>
      </c>
      <c r="E606" s="11">
        <v>43922</v>
      </c>
      <c r="F606" s="38">
        <v>1773</v>
      </c>
      <c r="G606" s="38">
        <v>886.5</v>
      </c>
      <c r="H606">
        <v>50</v>
      </c>
    </row>
    <row r="607" spans="1:8" x14ac:dyDescent="0.25">
      <c r="A607">
        <v>3</v>
      </c>
      <c r="B607">
        <v>676544</v>
      </c>
      <c r="C607" t="s">
        <v>2</v>
      </c>
      <c r="D607">
        <v>442</v>
      </c>
      <c r="E607" s="11">
        <v>43709</v>
      </c>
      <c r="F607" s="38">
        <v>1768</v>
      </c>
      <c r="G607" s="38">
        <v>663</v>
      </c>
      <c r="H607">
        <v>62.5</v>
      </c>
    </row>
    <row r="608" spans="1:8" x14ac:dyDescent="0.25">
      <c r="A608">
        <v>3</v>
      </c>
      <c r="B608">
        <v>215754</v>
      </c>
      <c r="C608" t="s">
        <v>0</v>
      </c>
      <c r="D608">
        <v>1757</v>
      </c>
      <c r="E608" s="11">
        <v>43739</v>
      </c>
      <c r="F608" s="38">
        <v>1757</v>
      </c>
      <c r="G608" s="38">
        <v>878.5</v>
      </c>
      <c r="H608">
        <v>50</v>
      </c>
    </row>
    <row r="609" spans="1:8" x14ac:dyDescent="0.25">
      <c r="A609">
        <v>4</v>
      </c>
      <c r="B609">
        <v>164574</v>
      </c>
      <c r="C609" t="s">
        <v>0</v>
      </c>
      <c r="D609">
        <v>1727</v>
      </c>
      <c r="E609" s="11">
        <v>43739</v>
      </c>
      <c r="F609" s="38">
        <v>1727</v>
      </c>
      <c r="G609" s="38">
        <v>863.5</v>
      </c>
      <c r="H609">
        <v>50</v>
      </c>
    </row>
    <row r="610" spans="1:8" x14ac:dyDescent="0.25">
      <c r="A610">
        <v>3</v>
      </c>
      <c r="B610">
        <v>324307</v>
      </c>
      <c r="C610" t="s">
        <v>1</v>
      </c>
      <c r="D610">
        <v>575</v>
      </c>
      <c r="E610" s="11">
        <v>43922</v>
      </c>
      <c r="F610" s="38">
        <v>1723.5</v>
      </c>
      <c r="G610" s="38">
        <v>718.13</v>
      </c>
      <c r="H610">
        <v>58.33</v>
      </c>
    </row>
    <row r="611" spans="1:8" x14ac:dyDescent="0.25">
      <c r="A611">
        <v>1</v>
      </c>
      <c r="B611">
        <v>423355</v>
      </c>
      <c r="C611" t="s">
        <v>4</v>
      </c>
      <c r="D611">
        <v>344</v>
      </c>
      <c r="E611" s="11">
        <v>43739</v>
      </c>
      <c r="F611" s="38">
        <v>1720</v>
      </c>
      <c r="G611" s="38">
        <v>756.8</v>
      </c>
      <c r="H611">
        <v>56</v>
      </c>
    </row>
    <row r="612" spans="1:8" x14ac:dyDescent="0.25">
      <c r="A612">
        <v>2</v>
      </c>
      <c r="B612">
        <v>347412</v>
      </c>
      <c r="C612" t="s">
        <v>0</v>
      </c>
      <c r="D612">
        <v>1715</v>
      </c>
      <c r="E612" s="11">
        <v>43739</v>
      </c>
      <c r="F612" s="38">
        <v>1715</v>
      </c>
      <c r="G612" s="38">
        <v>857.5</v>
      </c>
      <c r="H612">
        <v>50</v>
      </c>
    </row>
    <row r="613" spans="1:8" x14ac:dyDescent="0.25">
      <c r="A613">
        <v>2</v>
      </c>
      <c r="B613">
        <v>899502</v>
      </c>
      <c r="C613" t="s">
        <v>1</v>
      </c>
      <c r="D613">
        <v>570</v>
      </c>
      <c r="E613" s="11">
        <v>44166</v>
      </c>
      <c r="F613" s="38">
        <v>1710</v>
      </c>
      <c r="G613" s="38">
        <v>712.5</v>
      </c>
      <c r="H613">
        <v>58.33</v>
      </c>
    </row>
    <row r="614" spans="1:8" x14ac:dyDescent="0.25">
      <c r="A614">
        <v>3</v>
      </c>
      <c r="B614">
        <v>494228</v>
      </c>
      <c r="C614" t="s">
        <v>0</v>
      </c>
      <c r="D614">
        <v>1706</v>
      </c>
      <c r="E614" s="11">
        <v>44166</v>
      </c>
      <c r="F614" s="38">
        <v>1706</v>
      </c>
      <c r="G614" s="38">
        <v>853</v>
      </c>
      <c r="H614">
        <v>50</v>
      </c>
    </row>
    <row r="615" spans="1:8" x14ac:dyDescent="0.25">
      <c r="A615">
        <v>2</v>
      </c>
      <c r="B615">
        <v>487819</v>
      </c>
      <c r="C615" t="s">
        <v>0</v>
      </c>
      <c r="D615">
        <v>1666</v>
      </c>
      <c r="E615" s="11">
        <v>43952</v>
      </c>
      <c r="F615" s="38">
        <v>1666</v>
      </c>
      <c r="G615" s="38">
        <v>833</v>
      </c>
      <c r="H615">
        <v>50</v>
      </c>
    </row>
    <row r="616" spans="1:8" x14ac:dyDescent="0.25">
      <c r="A616">
        <v>3</v>
      </c>
      <c r="B616">
        <v>878522</v>
      </c>
      <c r="C616" t="s">
        <v>1</v>
      </c>
      <c r="D616">
        <v>554</v>
      </c>
      <c r="E616" s="11">
        <v>43831</v>
      </c>
      <c r="F616" s="38">
        <v>1662</v>
      </c>
      <c r="G616" s="38">
        <v>692.5</v>
      </c>
      <c r="H616">
        <v>58.33</v>
      </c>
    </row>
    <row r="617" spans="1:8" x14ac:dyDescent="0.25">
      <c r="A617">
        <v>4</v>
      </c>
      <c r="B617">
        <v>113657</v>
      </c>
      <c r="C617" t="s">
        <v>0</v>
      </c>
      <c r="D617">
        <v>1660</v>
      </c>
      <c r="E617" s="11">
        <v>43770</v>
      </c>
      <c r="F617" s="38">
        <v>1660</v>
      </c>
      <c r="G617" s="38">
        <v>830</v>
      </c>
      <c r="H617">
        <v>50</v>
      </c>
    </row>
    <row r="618" spans="1:8" x14ac:dyDescent="0.25">
      <c r="A618">
        <v>4</v>
      </c>
      <c r="B618">
        <v>483216</v>
      </c>
      <c r="C618" t="s">
        <v>1</v>
      </c>
      <c r="D618">
        <v>552</v>
      </c>
      <c r="E618" s="11">
        <v>44136</v>
      </c>
      <c r="F618" s="38">
        <v>1656</v>
      </c>
      <c r="G618" s="38">
        <v>690</v>
      </c>
      <c r="H618">
        <v>58.33</v>
      </c>
    </row>
    <row r="619" spans="1:8" x14ac:dyDescent="0.25">
      <c r="A619">
        <v>2</v>
      </c>
      <c r="B619">
        <v>867907</v>
      </c>
      <c r="C619" t="s">
        <v>5</v>
      </c>
      <c r="D619">
        <v>269</v>
      </c>
      <c r="E619" s="11">
        <v>43739</v>
      </c>
      <c r="F619" s="38">
        <v>1614</v>
      </c>
      <c r="G619" s="38">
        <v>739.75</v>
      </c>
      <c r="H619">
        <v>54.17</v>
      </c>
    </row>
    <row r="620" spans="1:8" x14ac:dyDescent="0.25">
      <c r="A620">
        <v>2</v>
      </c>
      <c r="B620">
        <v>270516</v>
      </c>
      <c r="C620" t="s">
        <v>0</v>
      </c>
      <c r="D620">
        <v>1611</v>
      </c>
      <c r="E620" s="11">
        <v>43800</v>
      </c>
      <c r="F620" s="38">
        <v>1611</v>
      </c>
      <c r="G620" s="38">
        <v>805.5</v>
      </c>
      <c r="H620">
        <v>50</v>
      </c>
    </row>
    <row r="621" spans="1:8" x14ac:dyDescent="0.25">
      <c r="A621">
        <v>4</v>
      </c>
      <c r="B621">
        <v>182735</v>
      </c>
      <c r="C621" t="s">
        <v>4</v>
      </c>
      <c r="D621">
        <v>321</v>
      </c>
      <c r="E621" s="11">
        <v>43770</v>
      </c>
      <c r="F621" s="38">
        <v>1605</v>
      </c>
      <c r="G621" s="38">
        <v>706.2</v>
      </c>
      <c r="H621">
        <v>56</v>
      </c>
    </row>
    <row r="622" spans="1:8" x14ac:dyDescent="0.25">
      <c r="A622">
        <v>1</v>
      </c>
      <c r="B622">
        <v>326089</v>
      </c>
      <c r="C622" t="s">
        <v>0</v>
      </c>
      <c r="D622">
        <v>1566</v>
      </c>
      <c r="E622" s="11">
        <v>44105</v>
      </c>
      <c r="F622" s="38">
        <v>1566</v>
      </c>
      <c r="G622" s="38">
        <v>783</v>
      </c>
      <c r="H622">
        <v>50</v>
      </c>
    </row>
    <row r="623" spans="1:8" x14ac:dyDescent="0.25">
      <c r="A623">
        <v>1</v>
      </c>
      <c r="B623">
        <v>102288</v>
      </c>
      <c r="C623" t="s">
        <v>1</v>
      </c>
      <c r="D623">
        <v>521</v>
      </c>
      <c r="E623" s="11">
        <v>44166</v>
      </c>
      <c r="F623" s="38">
        <v>1563</v>
      </c>
      <c r="G623" s="38">
        <v>651.25</v>
      </c>
      <c r="H623">
        <v>58.33</v>
      </c>
    </row>
    <row r="624" spans="1:8" x14ac:dyDescent="0.25">
      <c r="A624">
        <v>3</v>
      </c>
      <c r="B624">
        <v>141979</v>
      </c>
      <c r="C624" t="s">
        <v>0</v>
      </c>
      <c r="D624">
        <v>1562</v>
      </c>
      <c r="E624" s="11">
        <v>44044</v>
      </c>
      <c r="F624" s="38">
        <v>1562</v>
      </c>
      <c r="G624" s="38">
        <v>781</v>
      </c>
      <c r="H624">
        <v>50</v>
      </c>
    </row>
    <row r="625" spans="1:8" x14ac:dyDescent="0.25">
      <c r="A625">
        <v>2</v>
      </c>
      <c r="B625">
        <v>830819</v>
      </c>
      <c r="C625" t="s">
        <v>0</v>
      </c>
      <c r="D625">
        <v>1545</v>
      </c>
      <c r="E625" s="11">
        <v>43983</v>
      </c>
      <c r="F625" s="38">
        <v>1545</v>
      </c>
      <c r="G625" s="38">
        <v>772.5</v>
      </c>
      <c r="H625">
        <v>50</v>
      </c>
    </row>
    <row r="626" spans="1:8" x14ac:dyDescent="0.25">
      <c r="A626">
        <v>4</v>
      </c>
      <c r="B626">
        <v>395290</v>
      </c>
      <c r="C626" t="s">
        <v>2</v>
      </c>
      <c r="D626">
        <v>386</v>
      </c>
      <c r="E626" s="11">
        <v>43739</v>
      </c>
      <c r="F626" s="38">
        <v>1544</v>
      </c>
      <c r="G626" s="38">
        <v>579</v>
      </c>
      <c r="H626">
        <v>62.5</v>
      </c>
    </row>
    <row r="627" spans="1:8" x14ac:dyDescent="0.25">
      <c r="A627">
        <v>2</v>
      </c>
      <c r="B627">
        <v>581556</v>
      </c>
      <c r="C627" t="s">
        <v>4</v>
      </c>
      <c r="D627">
        <v>306</v>
      </c>
      <c r="E627" s="11">
        <v>43800</v>
      </c>
      <c r="F627" s="38">
        <v>1530</v>
      </c>
      <c r="G627" s="38">
        <v>673.2</v>
      </c>
      <c r="H627">
        <v>56</v>
      </c>
    </row>
    <row r="628" spans="1:8" x14ac:dyDescent="0.25">
      <c r="A628">
        <v>3</v>
      </c>
      <c r="B628">
        <v>243929</v>
      </c>
      <c r="C628" t="s">
        <v>1</v>
      </c>
      <c r="D628">
        <v>494</v>
      </c>
      <c r="E628" s="11">
        <v>43739</v>
      </c>
      <c r="F628" s="38">
        <v>1482</v>
      </c>
      <c r="G628" s="38">
        <v>617.5</v>
      </c>
      <c r="H628">
        <v>58.33</v>
      </c>
    </row>
    <row r="629" spans="1:8" x14ac:dyDescent="0.25">
      <c r="A629">
        <v>4</v>
      </c>
      <c r="B629">
        <v>414407</v>
      </c>
      <c r="C629" t="s">
        <v>1</v>
      </c>
      <c r="D629">
        <v>492</v>
      </c>
      <c r="E629" s="11">
        <v>44013</v>
      </c>
      <c r="F629" s="38">
        <v>1476</v>
      </c>
      <c r="G629" s="38">
        <v>615</v>
      </c>
      <c r="H629">
        <v>58.33</v>
      </c>
    </row>
    <row r="630" spans="1:8" x14ac:dyDescent="0.25">
      <c r="A630">
        <v>1</v>
      </c>
      <c r="B630">
        <v>847731</v>
      </c>
      <c r="C630" t="s">
        <v>5</v>
      </c>
      <c r="D630">
        <v>245</v>
      </c>
      <c r="E630" s="11">
        <v>43952</v>
      </c>
      <c r="F630" s="38">
        <v>1470</v>
      </c>
      <c r="G630" s="38">
        <v>673.75</v>
      </c>
      <c r="H630">
        <v>54.17</v>
      </c>
    </row>
    <row r="631" spans="1:8" x14ac:dyDescent="0.25">
      <c r="A631">
        <v>5</v>
      </c>
      <c r="B631">
        <v>496752</v>
      </c>
      <c r="C631" t="s">
        <v>2</v>
      </c>
      <c r="D631">
        <v>367</v>
      </c>
      <c r="E631" s="11">
        <v>43739</v>
      </c>
      <c r="F631" s="38">
        <v>1468</v>
      </c>
      <c r="G631" s="38">
        <v>550.5</v>
      </c>
      <c r="H631">
        <v>62.5</v>
      </c>
    </row>
    <row r="632" spans="1:8" x14ac:dyDescent="0.25">
      <c r="A632">
        <v>4</v>
      </c>
      <c r="B632">
        <v>809091</v>
      </c>
      <c r="C632" t="s">
        <v>3</v>
      </c>
      <c r="D632">
        <v>293</v>
      </c>
      <c r="E632" s="11">
        <v>44166</v>
      </c>
      <c r="F632" s="38">
        <v>1465</v>
      </c>
      <c r="G632" s="38">
        <v>586</v>
      </c>
      <c r="H632">
        <v>60</v>
      </c>
    </row>
    <row r="633" spans="1:8" x14ac:dyDescent="0.25">
      <c r="A633">
        <v>2</v>
      </c>
      <c r="B633">
        <v>199458</v>
      </c>
      <c r="C633" t="s">
        <v>0</v>
      </c>
      <c r="D633">
        <v>1460</v>
      </c>
      <c r="E633" s="11">
        <v>43952</v>
      </c>
      <c r="F633" s="38">
        <v>1460</v>
      </c>
      <c r="G633" s="38">
        <v>730</v>
      </c>
      <c r="H633">
        <v>50</v>
      </c>
    </row>
    <row r="634" spans="1:8" x14ac:dyDescent="0.25">
      <c r="A634">
        <v>3</v>
      </c>
      <c r="B634">
        <v>266868</v>
      </c>
      <c r="C634" t="s">
        <v>3</v>
      </c>
      <c r="D634">
        <v>292</v>
      </c>
      <c r="E634" s="11">
        <v>43862</v>
      </c>
      <c r="F634" s="38">
        <v>1460</v>
      </c>
      <c r="G634" s="38">
        <v>584</v>
      </c>
      <c r="H634">
        <v>60</v>
      </c>
    </row>
    <row r="635" spans="1:8" x14ac:dyDescent="0.25">
      <c r="A635">
        <v>2</v>
      </c>
      <c r="B635">
        <v>775311</v>
      </c>
      <c r="C635" t="s">
        <v>5</v>
      </c>
      <c r="D635">
        <v>241</v>
      </c>
      <c r="E635" s="11">
        <v>44105</v>
      </c>
      <c r="F635" s="38">
        <v>1446</v>
      </c>
      <c r="G635" s="38">
        <v>662.75</v>
      </c>
      <c r="H635">
        <v>54.17</v>
      </c>
    </row>
    <row r="636" spans="1:8" x14ac:dyDescent="0.25">
      <c r="A636">
        <v>4</v>
      </c>
      <c r="B636">
        <v>294390</v>
      </c>
      <c r="C636" t="s">
        <v>0</v>
      </c>
      <c r="D636">
        <v>1403</v>
      </c>
      <c r="E636" s="11">
        <v>43739</v>
      </c>
      <c r="F636" s="38">
        <v>1403</v>
      </c>
      <c r="G636" s="38">
        <v>701.5</v>
      </c>
      <c r="H636">
        <v>50</v>
      </c>
    </row>
    <row r="637" spans="1:8" x14ac:dyDescent="0.25">
      <c r="A637">
        <v>3</v>
      </c>
      <c r="B637">
        <v>217341</v>
      </c>
      <c r="C637" t="s">
        <v>3</v>
      </c>
      <c r="D637">
        <v>278</v>
      </c>
      <c r="E637" s="11">
        <v>43862</v>
      </c>
      <c r="F637" s="38">
        <v>1390</v>
      </c>
      <c r="G637" s="38">
        <v>556</v>
      </c>
      <c r="H637">
        <v>60</v>
      </c>
    </row>
    <row r="638" spans="1:8" x14ac:dyDescent="0.25">
      <c r="A638">
        <v>3</v>
      </c>
      <c r="B638">
        <v>779079</v>
      </c>
      <c r="C638" t="s">
        <v>0</v>
      </c>
      <c r="D638">
        <v>1385</v>
      </c>
      <c r="E638" s="11">
        <v>43831</v>
      </c>
      <c r="F638" s="38">
        <v>1384.5</v>
      </c>
      <c r="G638" s="38">
        <v>692.25</v>
      </c>
      <c r="H638">
        <v>50</v>
      </c>
    </row>
    <row r="639" spans="1:8" x14ac:dyDescent="0.25">
      <c r="A639">
        <v>4</v>
      </c>
      <c r="B639">
        <v>892418</v>
      </c>
      <c r="C639" t="s">
        <v>0</v>
      </c>
      <c r="D639">
        <v>1376</v>
      </c>
      <c r="E639" s="11">
        <v>44013</v>
      </c>
      <c r="F639" s="38">
        <v>1375.5</v>
      </c>
      <c r="G639" s="38">
        <v>687.75</v>
      </c>
      <c r="H639">
        <v>50</v>
      </c>
    </row>
    <row r="640" spans="1:8" x14ac:dyDescent="0.25">
      <c r="A640">
        <v>3</v>
      </c>
      <c r="B640">
        <v>817134</v>
      </c>
      <c r="C640" t="s">
        <v>3</v>
      </c>
      <c r="D640">
        <v>274</v>
      </c>
      <c r="E640" s="11">
        <v>44166</v>
      </c>
      <c r="F640" s="38">
        <v>1370</v>
      </c>
      <c r="G640" s="38">
        <v>548</v>
      </c>
      <c r="H640">
        <v>60</v>
      </c>
    </row>
    <row r="641" spans="1:8" x14ac:dyDescent="0.25">
      <c r="A641">
        <v>4</v>
      </c>
      <c r="B641">
        <v>605154</v>
      </c>
      <c r="C641" t="s">
        <v>0</v>
      </c>
      <c r="D641">
        <v>1368</v>
      </c>
      <c r="E641" s="11">
        <v>43862</v>
      </c>
      <c r="F641" s="38">
        <v>1368</v>
      </c>
      <c r="G641" s="38">
        <v>684</v>
      </c>
      <c r="H641">
        <v>50</v>
      </c>
    </row>
    <row r="642" spans="1:8" x14ac:dyDescent="0.25">
      <c r="A642">
        <v>4</v>
      </c>
      <c r="B642">
        <v>531656</v>
      </c>
      <c r="C642" t="s">
        <v>4</v>
      </c>
      <c r="D642">
        <v>270</v>
      </c>
      <c r="E642" s="11">
        <v>43862</v>
      </c>
      <c r="F642" s="38">
        <v>1350</v>
      </c>
      <c r="G642" s="38">
        <v>594</v>
      </c>
      <c r="H642">
        <v>56</v>
      </c>
    </row>
    <row r="643" spans="1:8" x14ac:dyDescent="0.25">
      <c r="A643">
        <v>3</v>
      </c>
      <c r="B643">
        <v>609851</v>
      </c>
      <c r="C643" t="s">
        <v>3</v>
      </c>
      <c r="D643">
        <v>267</v>
      </c>
      <c r="E643" s="11">
        <v>43739</v>
      </c>
      <c r="F643" s="38">
        <v>1335</v>
      </c>
      <c r="G643" s="38">
        <v>534</v>
      </c>
      <c r="H643">
        <v>60</v>
      </c>
    </row>
    <row r="644" spans="1:8" x14ac:dyDescent="0.25">
      <c r="A644">
        <v>3</v>
      </c>
      <c r="B644">
        <v>616987</v>
      </c>
      <c r="C644" t="s">
        <v>2</v>
      </c>
      <c r="D644">
        <v>330</v>
      </c>
      <c r="E644" s="11">
        <v>43709</v>
      </c>
      <c r="F644" s="38">
        <v>1320</v>
      </c>
      <c r="G644" s="38">
        <v>495</v>
      </c>
      <c r="H644">
        <v>62.5</v>
      </c>
    </row>
    <row r="645" spans="1:8" x14ac:dyDescent="0.25">
      <c r="A645">
        <v>2</v>
      </c>
      <c r="B645">
        <v>633142</v>
      </c>
      <c r="C645" t="s">
        <v>1</v>
      </c>
      <c r="D645">
        <v>437</v>
      </c>
      <c r="E645" s="11">
        <v>44013</v>
      </c>
      <c r="F645" s="38">
        <v>1309.5</v>
      </c>
      <c r="G645" s="38">
        <v>545.63</v>
      </c>
      <c r="H645">
        <v>58.33</v>
      </c>
    </row>
    <row r="646" spans="1:8" x14ac:dyDescent="0.25">
      <c r="A646">
        <v>3</v>
      </c>
      <c r="B646">
        <v>358353</v>
      </c>
      <c r="C646" t="s">
        <v>3</v>
      </c>
      <c r="D646">
        <v>260</v>
      </c>
      <c r="E646" s="11">
        <v>43862</v>
      </c>
      <c r="F646" s="38">
        <v>1300</v>
      </c>
      <c r="G646" s="38">
        <v>520</v>
      </c>
      <c r="H646">
        <v>60</v>
      </c>
    </row>
    <row r="647" spans="1:8" x14ac:dyDescent="0.25">
      <c r="A647">
        <v>2</v>
      </c>
      <c r="B647">
        <v>541297</v>
      </c>
      <c r="C647" t="s">
        <v>0</v>
      </c>
      <c r="D647">
        <v>1298</v>
      </c>
      <c r="E647" s="11">
        <v>43862</v>
      </c>
      <c r="F647" s="38">
        <v>1298</v>
      </c>
      <c r="G647" s="38">
        <v>649</v>
      </c>
      <c r="H647">
        <v>50</v>
      </c>
    </row>
    <row r="648" spans="1:8" x14ac:dyDescent="0.25">
      <c r="A648">
        <v>5</v>
      </c>
      <c r="B648">
        <v>494850</v>
      </c>
      <c r="C648" t="s">
        <v>1</v>
      </c>
      <c r="D648">
        <v>432</v>
      </c>
      <c r="E648" s="11">
        <v>44075</v>
      </c>
      <c r="F648" s="38">
        <v>1296</v>
      </c>
      <c r="G648" s="38">
        <v>540</v>
      </c>
      <c r="H648">
        <v>58.33</v>
      </c>
    </row>
    <row r="649" spans="1:8" x14ac:dyDescent="0.25">
      <c r="A649">
        <v>3</v>
      </c>
      <c r="B649">
        <v>150101</v>
      </c>
      <c r="C649" t="s">
        <v>4</v>
      </c>
      <c r="D649">
        <v>259</v>
      </c>
      <c r="E649" s="11">
        <v>43891</v>
      </c>
      <c r="F649" s="38">
        <v>1295</v>
      </c>
      <c r="G649" s="38">
        <v>569.79999999999995</v>
      </c>
      <c r="H649">
        <v>56</v>
      </c>
    </row>
    <row r="650" spans="1:8" x14ac:dyDescent="0.25">
      <c r="A650">
        <v>3</v>
      </c>
      <c r="B650">
        <v>637451</v>
      </c>
      <c r="C650" t="s">
        <v>0</v>
      </c>
      <c r="D650">
        <v>1287</v>
      </c>
      <c r="E650" s="11">
        <v>44166</v>
      </c>
      <c r="F650" s="38">
        <v>1287</v>
      </c>
      <c r="G650" s="38">
        <v>643.5</v>
      </c>
      <c r="H650">
        <v>50</v>
      </c>
    </row>
    <row r="651" spans="1:8" x14ac:dyDescent="0.25">
      <c r="A651">
        <v>2</v>
      </c>
      <c r="B651">
        <v>566983</v>
      </c>
      <c r="C651" t="s">
        <v>3</v>
      </c>
      <c r="D651">
        <v>257</v>
      </c>
      <c r="E651" s="11">
        <v>43952</v>
      </c>
      <c r="F651" s="38">
        <v>1285</v>
      </c>
      <c r="G651" s="38">
        <v>514</v>
      </c>
      <c r="H651">
        <v>60</v>
      </c>
    </row>
    <row r="652" spans="1:8" x14ac:dyDescent="0.25">
      <c r="A652">
        <v>3</v>
      </c>
      <c r="B652">
        <v>781308</v>
      </c>
      <c r="C652" t="s">
        <v>0</v>
      </c>
      <c r="D652">
        <v>1283</v>
      </c>
      <c r="E652" s="11">
        <v>43709</v>
      </c>
      <c r="F652" s="38">
        <v>1283</v>
      </c>
      <c r="G652" s="38">
        <v>641.5</v>
      </c>
      <c r="H652">
        <v>50</v>
      </c>
    </row>
    <row r="653" spans="1:8" x14ac:dyDescent="0.25">
      <c r="A653">
        <v>1</v>
      </c>
      <c r="B653">
        <v>173001</v>
      </c>
      <c r="C653" t="s">
        <v>0</v>
      </c>
      <c r="D653">
        <v>1282</v>
      </c>
      <c r="E653" s="11">
        <v>43983</v>
      </c>
      <c r="F653" s="38">
        <v>1282</v>
      </c>
      <c r="G653" s="38">
        <v>641</v>
      </c>
      <c r="H653">
        <v>50</v>
      </c>
    </row>
    <row r="654" spans="1:8" x14ac:dyDescent="0.25">
      <c r="A654">
        <v>1</v>
      </c>
      <c r="B654">
        <v>350494</v>
      </c>
      <c r="C654" t="s">
        <v>1</v>
      </c>
      <c r="D654">
        <v>422</v>
      </c>
      <c r="E654" s="11">
        <v>44044</v>
      </c>
      <c r="F654" s="38">
        <v>1266</v>
      </c>
      <c r="G654" s="38">
        <v>527.5</v>
      </c>
      <c r="H654">
        <v>58.33</v>
      </c>
    </row>
    <row r="655" spans="1:8" x14ac:dyDescent="0.25">
      <c r="A655">
        <v>3</v>
      </c>
      <c r="B655">
        <v>505218</v>
      </c>
      <c r="C655" t="s">
        <v>0</v>
      </c>
      <c r="D655">
        <v>1249</v>
      </c>
      <c r="E655" s="11">
        <v>44105</v>
      </c>
      <c r="F655" s="38">
        <v>1249</v>
      </c>
      <c r="G655" s="38">
        <v>624.5</v>
      </c>
      <c r="H655">
        <v>50</v>
      </c>
    </row>
    <row r="656" spans="1:8" x14ac:dyDescent="0.25">
      <c r="A656">
        <v>3</v>
      </c>
      <c r="B656">
        <v>565251</v>
      </c>
      <c r="C656" t="s">
        <v>3</v>
      </c>
      <c r="D656">
        <v>241</v>
      </c>
      <c r="E656" s="11">
        <v>44105</v>
      </c>
      <c r="F656" s="38">
        <v>1205</v>
      </c>
      <c r="G656" s="38">
        <v>482</v>
      </c>
      <c r="H656">
        <v>60</v>
      </c>
    </row>
    <row r="657" spans="1:8" x14ac:dyDescent="0.25">
      <c r="A657">
        <v>5</v>
      </c>
      <c r="B657">
        <v>721311</v>
      </c>
      <c r="C657" t="s">
        <v>0</v>
      </c>
      <c r="D657">
        <v>1199</v>
      </c>
      <c r="E657" s="11">
        <v>43922</v>
      </c>
      <c r="F657" s="38">
        <v>1199</v>
      </c>
      <c r="G657" s="38">
        <v>599.5</v>
      </c>
      <c r="H657">
        <v>50</v>
      </c>
    </row>
    <row r="658" spans="1:8" x14ac:dyDescent="0.25">
      <c r="A658">
        <v>1</v>
      </c>
      <c r="B658">
        <v>469636</v>
      </c>
      <c r="C658" t="s">
        <v>0</v>
      </c>
      <c r="D658">
        <v>1186</v>
      </c>
      <c r="E658" s="11">
        <v>43800</v>
      </c>
      <c r="F658" s="38">
        <v>1186</v>
      </c>
      <c r="G658" s="38">
        <v>593</v>
      </c>
      <c r="H658">
        <v>50</v>
      </c>
    </row>
    <row r="659" spans="1:8" x14ac:dyDescent="0.25">
      <c r="A659">
        <v>3</v>
      </c>
      <c r="B659">
        <v>150704</v>
      </c>
      <c r="C659" t="s">
        <v>0</v>
      </c>
      <c r="D659">
        <v>1159</v>
      </c>
      <c r="E659" s="11">
        <v>43739</v>
      </c>
      <c r="F659" s="38">
        <v>1159</v>
      </c>
      <c r="G659" s="38">
        <v>579.5</v>
      </c>
      <c r="H659">
        <v>50</v>
      </c>
    </row>
    <row r="660" spans="1:8" x14ac:dyDescent="0.25">
      <c r="A660">
        <v>3</v>
      </c>
      <c r="B660">
        <v>464364</v>
      </c>
      <c r="C660" t="s">
        <v>1</v>
      </c>
      <c r="D660">
        <v>381</v>
      </c>
      <c r="E660" s="11">
        <v>44044</v>
      </c>
      <c r="F660" s="38">
        <v>1143</v>
      </c>
      <c r="G660" s="38">
        <v>476.25</v>
      </c>
      <c r="H660">
        <v>58.33</v>
      </c>
    </row>
    <row r="661" spans="1:8" x14ac:dyDescent="0.25">
      <c r="A661">
        <v>3</v>
      </c>
      <c r="B661">
        <v>652401</v>
      </c>
      <c r="C661" t="s">
        <v>0</v>
      </c>
      <c r="D661">
        <v>1142</v>
      </c>
      <c r="E661" s="11">
        <v>43983</v>
      </c>
      <c r="F661" s="38">
        <v>1142</v>
      </c>
      <c r="G661" s="38">
        <v>571</v>
      </c>
      <c r="H661">
        <v>50</v>
      </c>
    </row>
    <row r="662" spans="1:8" x14ac:dyDescent="0.25">
      <c r="A662">
        <v>4</v>
      </c>
      <c r="B662">
        <v>130685</v>
      </c>
      <c r="C662" t="s">
        <v>0</v>
      </c>
      <c r="D662">
        <v>1138</v>
      </c>
      <c r="E662" s="11">
        <v>44166</v>
      </c>
      <c r="F662" s="38">
        <v>1138</v>
      </c>
      <c r="G662" s="38">
        <v>569</v>
      </c>
      <c r="H662">
        <v>50</v>
      </c>
    </row>
    <row r="663" spans="1:8" x14ac:dyDescent="0.25">
      <c r="A663">
        <v>4</v>
      </c>
      <c r="B663">
        <v>684001</v>
      </c>
      <c r="C663" t="s">
        <v>2</v>
      </c>
      <c r="D663">
        <v>280</v>
      </c>
      <c r="E663" s="11">
        <v>44166</v>
      </c>
      <c r="F663" s="38">
        <v>1120</v>
      </c>
      <c r="G663" s="38">
        <v>420</v>
      </c>
      <c r="H663">
        <v>62.5</v>
      </c>
    </row>
    <row r="664" spans="1:8" x14ac:dyDescent="0.25">
      <c r="A664">
        <v>1</v>
      </c>
      <c r="B664">
        <v>830981</v>
      </c>
      <c r="C664" t="s">
        <v>0</v>
      </c>
      <c r="D664">
        <v>1100</v>
      </c>
      <c r="E664" s="11">
        <v>43800</v>
      </c>
      <c r="F664" s="38">
        <v>1100</v>
      </c>
      <c r="G664" s="38">
        <v>550</v>
      </c>
      <c r="H664">
        <v>50</v>
      </c>
    </row>
    <row r="665" spans="1:8" x14ac:dyDescent="0.25">
      <c r="A665">
        <v>4</v>
      </c>
      <c r="B665">
        <v>882680</v>
      </c>
      <c r="C665" t="s">
        <v>2</v>
      </c>
      <c r="D665">
        <v>274</v>
      </c>
      <c r="E665" s="11">
        <v>44166</v>
      </c>
      <c r="F665" s="38">
        <v>1096</v>
      </c>
      <c r="G665" s="38">
        <v>411</v>
      </c>
      <c r="H665">
        <v>62.5</v>
      </c>
    </row>
    <row r="666" spans="1:8" x14ac:dyDescent="0.25">
      <c r="A666">
        <v>1</v>
      </c>
      <c r="B666">
        <v>675035</v>
      </c>
      <c r="C666" t="s">
        <v>3</v>
      </c>
      <c r="D666">
        <v>218</v>
      </c>
      <c r="E666" s="11">
        <v>44075</v>
      </c>
      <c r="F666" s="38">
        <v>1090</v>
      </c>
      <c r="G666" s="38">
        <v>436</v>
      </c>
      <c r="H666">
        <v>60</v>
      </c>
    </row>
    <row r="667" spans="1:8" x14ac:dyDescent="0.25">
      <c r="A667">
        <v>4</v>
      </c>
      <c r="B667">
        <v>881898</v>
      </c>
      <c r="C667" t="s">
        <v>1</v>
      </c>
      <c r="D667">
        <v>360</v>
      </c>
      <c r="E667" s="11">
        <v>44105</v>
      </c>
      <c r="F667" s="38">
        <v>1080</v>
      </c>
      <c r="G667" s="38">
        <v>450</v>
      </c>
      <c r="H667">
        <v>58.33</v>
      </c>
    </row>
    <row r="668" spans="1:8" x14ac:dyDescent="0.25">
      <c r="A668">
        <v>4</v>
      </c>
      <c r="B668">
        <v>680427</v>
      </c>
      <c r="C668" t="s">
        <v>2</v>
      </c>
      <c r="D668">
        <v>263</v>
      </c>
      <c r="E668" s="11">
        <v>43770</v>
      </c>
      <c r="F668" s="38">
        <v>1052</v>
      </c>
      <c r="G668" s="38">
        <v>394.5</v>
      </c>
      <c r="H668">
        <v>62.5</v>
      </c>
    </row>
    <row r="669" spans="1:8" x14ac:dyDescent="0.25">
      <c r="A669">
        <v>1</v>
      </c>
      <c r="B669">
        <v>581507</v>
      </c>
      <c r="C669" t="s">
        <v>1</v>
      </c>
      <c r="D669">
        <v>349</v>
      </c>
      <c r="E669" s="11">
        <v>43709</v>
      </c>
      <c r="F669" s="38">
        <v>1047</v>
      </c>
      <c r="G669" s="38">
        <v>436.25</v>
      </c>
      <c r="H669">
        <v>58.33</v>
      </c>
    </row>
    <row r="670" spans="1:8" x14ac:dyDescent="0.25">
      <c r="A670">
        <v>5</v>
      </c>
      <c r="B670">
        <v>727045</v>
      </c>
      <c r="C670" t="s">
        <v>1</v>
      </c>
      <c r="D670">
        <v>341</v>
      </c>
      <c r="E670" s="11">
        <v>43952</v>
      </c>
      <c r="F670" s="38">
        <v>1023</v>
      </c>
      <c r="G670" s="38">
        <v>426.25</v>
      </c>
      <c r="H670">
        <v>58.33</v>
      </c>
    </row>
    <row r="671" spans="1:8" x14ac:dyDescent="0.25">
      <c r="A671">
        <v>1</v>
      </c>
      <c r="B671">
        <v>348844</v>
      </c>
      <c r="C671" t="s">
        <v>0</v>
      </c>
      <c r="D671">
        <v>983</v>
      </c>
      <c r="E671" s="11">
        <v>43831</v>
      </c>
      <c r="F671" s="38">
        <v>982.5</v>
      </c>
      <c r="G671" s="38">
        <v>491.25</v>
      </c>
      <c r="H671">
        <v>50</v>
      </c>
    </row>
    <row r="672" spans="1:8" x14ac:dyDescent="0.25">
      <c r="A672">
        <v>1</v>
      </c>
      <c r="B672">
        <v>503244</v>
      </c>
      <c r="C672" t="s">
        <v>0</v>
      </c>
      <c r="D672">
        <v>980</v>
      </c>
      <c r="E672" s="11">
        <v>43922</v>
      </c>
      <c r="F672" s="38">
        <v>980</v>
      </c>
      <c r="G672" s="38">
        <v>490</v>
      </c>
      <c r="H672">
        <v>50</v>
      </c>
    </row>
    <row r="673" spans="1:8" x14ac:dyDescent="0.25">
      <c r="A673">
        <v>3</v>
      </c>
      <c r="B673">
        <v>440487</v>
      </c>
      <c r="C673" t="s">
        <v>0</v>
      </c>
      <c r="D673">
        <v>958</v>
      </c>
      <c r="E673" s="11">
        <v>44044</v>
      </c>
      <c r="F673" s="38">
        <v>958</v>
      </c>
      <c r="G673" s="38">
        <v>479</v>
      </c>
      <c r="H673">
        <v>50</v>
      </c>
    </row>
    <row r="674" spans="1:8" x14ac:dyDescent="0.25">
      <c r="A674">
        <v>3</v>
      </c>
      <c r="B674">
        <v>203604</v>
      </c>
      <c r="C674" t="s">
        <v>0</v>
      </c>
      <c r="D674">
        <v>921</v>
      </c>
      <c r="E674" s="11">
        <v>43891</v>
      </c>
      <c r="F674" s="38">
        <v>921</v>
      </c>
      <c r="G674" s="38">
        <v>460.5</v>
      </c>
      <c r="H674">
        <v>50</v>
      </c>
    </row>
    <row r="675" spans="1:8" x14ac:dyDescent="0.25">
      <c r="A675">
        <v>1</v>
      </c>
      <c r="B675">
        <v>887151</v>
      </c>
      <c r="C675" t="s">
        <v>1</v>
      </c>
      <c r="D675">
        <v>293</v>
      </c>
      <c r="E675" s="11">
        <v>44166</v>
      </c>
      <c r="F675" s="38">
        <v>879</v>
      </c>
      <c r="G675" s="38">
        <v>366.25</v>
      </c>
      <c r="H675">
        <v>58.33</v>
      </c>
    </row>
    <row r="676" spans="1:8" x14ac:dyDescent="0.25">
      <c r="A676">
        <v>1</v>
      </c>
      <c r="B676">
        <v>893967</v>
      </c>
      <c r="C676" t="s">
        <v>2</v>
      </c>
      <c r="D676">
        <v>214</v>
      </c>
      <c r="E676" s="11">
        <v>43739</v>
      </c>
      <c r="F676" s="38">
        <v>856</v>
      </c>
      <c r="G676" s="38">
        <v>321</v>
      </c>
      <c r="H676">
        <v>62.5</v>
      </c>
    </row>
    <row r="677" spans="1:8" x14ac:dyDescent="0.25">
      <c r="A677">
        <v>3</v>
      </c>
      <c r="B677">
        <v>528145</v>
      </c>
      <c r="C677" t="s">
        <v>1</v>
      </c>
      <c r="D677">
        <v>280</v>
      </c>
      <c r="E677" s="11">
        <v>44166</v>
      </c>
      <c r="F677" s="38">
        <v>840</v>
      </c>
      <c r="G677" s="38">
        <v>350</v>
      </c>
      <c r="H677">
        <v>58.33</v>
      </c>
    </row>
    <row r="678" spans="1:8" x14ac:dyDescent="0.25">
      <c r="A678">
        <v>4</v>
      </c>
      <c r="B678">
        <v>340032</v>
      </c>
      <c r="C678" t="s">
        <v>1</v>
      </c>
      <c r="D678">
        <v>269</v>
      </c>
      <c r="E678" s="11">
        <v>43739</v>
      </c>
      <c r="F678" s="38">
        <v>807</v>
      </c>
      <c r="G678" s="38">
        <v>336.25</v>
      </c>
      <c r="H678">
        <v>58.33</v>
      </c>
    </row>
    <row r="679" spans="1:8" x14ac:dyDescent="0.25">
      <c r="A679">
        <v>1</v>
      </c>
      <c r="B679">
        <v>199727</v>
      </c>
      <c r="C679" t="s">
        <v>1</v>
      </c>
      <c r="D679">
        <v>267</v>
      </c>
      <c r="E679" s="11">
        <v>43739</v>
      </c>
      <c r="F679" s="38">
        <v>801</v>
      </c>
      <c r="G679" s="38">
        <v>333.75</v>
      </c>
      <c r="H679">
        <v>58.33</v>
      </c>
    </row>
    <row r="680" spans="1:8" x14ac:dyDescent="0.25">
      <c r="A680">
        <v>5</v>
      </c>
      <c r="B680">
        <v>454417</v>
      </c>
      <c r="C680" t="s">
        <v>1</v>
      </c>
      <c r="D680">
        <v>266</v>
      </c>
      <c r="E680" s="11">
        <v>43800</v>
      </c>
      <c r="F680" s="38">
        <v>798</v>
      </c>
      <c r="G680" s="38">
        <v>332.5</v>
      </c>
      <c r="H680">
        <v>58.33</v>
      </c>
    </row>
    <row r="681" spans="1:8" x14ac:dyDescent="0.25">
      <c r="A681">
        <v>4</v>
      </c>
      <c r="B681">
        <v>735280</v>
      </c>
      <c r="C681" t="s">
        <v>1</v>
      </c>
      <c r="D681">
        <v>263</v>
      </c>
      <c r="E681" s="11">
        <v>43891</v>
      </c>
      <c r="F681" s="38">
        <v>789</v>
      </c>
      <c r="G681" s="38">
        <v>328.75</v>
      </c>
      <c r="H681">
        <v>58.33</v>
      </c>
    </row>
    <row r="682" spans="1:8" x14ac:dyDescent="0.25">
      <c r="A682">
        <v>5</v>
      </c>
      <c r="B682">
        <v>121208</v>
      </c>
      <c r="C682" t="s">
        <v>0</v>
      </c>
      <c r="D682">
        <v>766</v>
      </c>
      <c r="E682" s="11">
        <v>43831</v>
      </c>
      <c r="F682" s="38">
        <v>766</v>
      </c>
      <c r="G682" s="38">
        <v>383</v>
      </c>
      <c r="H682">
        <v>50</v>
      </c>
    </row>
    <row r="683" spans="1:8" x14ac:dyDescent="0.25">
      <c r="A683">
        <v>4</v>
      </c>
      <c r="B683">
        <v>594945</v>
      </c>
      <c r="C683" t="s">
        <v>0</v>
      </c>
      <c r="D683">
        <v>720</v>
      </c>
      <c r="E683" s="11">
        <v>43709</v>
      </c>
      <c r="F683" s="38">
        <v>720</v>
      </c>
      <c r="G683" s="38">
        <v>360</v>
      </c>
      <c r="H683">
        <v>50</v>
      </c>
    </row>
    <row r="684" spans="1:8" x14ac:dyDescent="0.25">
      <c r="A684">
        <v>5</v>
      </c>
      <c r="B684">
        <v>711452</v>
      </c>
      <c r="C684" t="s">
        <v>0</v>
      </c>
      <c r="D684">
        <v>711</v>
      </c>
      <c r="E684" s="11">
        <v>44166</v>
      </c>
      <c r="F684" s="38">
        <v>711</v>
      </c>
      <c r="G684" s="38">
        <v>355.5</v>
      </c>
      <c r="H684">
        <v>50</v>
      </c>
    </row>
    <row r="685" spans="1:8" x14ac:dyDescent="0.25">
      <c r="A685">
        <v>5</v>
      </c>
      <c r="B685">
        <v>123331</v>
      </c>
      <c r="C685" t="s">
        <v>0</v>
      </c>
      <c r="D685">
        <v>708</v>
      </c>
      <c r="E685" s="11">
        <v>43983</v>
      </c>
      <c r="F685" s="38">
        <v>708</v>
      </c>
      <c r="G685" s="38">
        <v>354</v>
      </c>
      <c r="H685">
        <v>50</v>
      </c>
    </row>
    <row r="686" spans="1:8" x14ac:dyDescent="0.25">
      <c r="A686">
        <v>3</v>
      </c>
      <c r="B686">
        <v>676869</v>
      </c>
      <c r="C686" t="s">
        <v>0</v>
      </c>
      <c r="D686">
        <v>690</v>
      </c>
      <c r="E686" s="11">
        <v>44136</v>
      </c>
      <c r="F686" s="38">
        <v>690</v>
      </c>
      <c r="G686" s="38">
        <v>345</v>
      </c>
      <c r="H686">
        <v>50</v>
      </c>
    </row>
    <row r="687" spans="1:8" x14ac:dyDescent="0.25">
      <c r="A687">
        <v>3</v>
      </c>
      <c r="B687">
        <v>517456</v>
      </c>
      <c r="C687" t="s">
        <v>0</v>
      </c>
      <c r="D687">
        <v>677</v>
      </c>
      <c r="E687" s="11">
        <v>43891</v>
      </c>
      <c r="F687" s="38">
        <v>677</v>
      </c>
      <c r="G687" s="38">
        <v>338.5</v>
      </c>
      <c r="H687">
        <v>50</v>
      </c>
    </row>
    <row r="688" spans="1:8" x14ac:dyDescent="0.25">
      <c r="A688">
        <v>5</v>
      </c>
      <c r="B688">
        <v>625570</v>
      </c>
      <c r="C688" t="s">
        <v>0</v>
      </c>
      <c r="D688">
        <v>663</v>
      </c>
      <c r="E688" s="11">
        <v>43739</v>
      </c>
      <c r="F688" s="38">
        <v>663</v>
      </c>
      <c r="G688" s="38">
        <v>331.5</v>
      </c>
      <c r="H688">
        <v>50</v>
      </c>
    </row>
    <row r="689" spans="1:8" x14ac:dyDescent="0.25">
      <c r="A689">
        <v>4</v>
      </c>
      <c r="B689">
        <v>219898</v>
      </c>
      <c r="C689" t="s">
        <v>0</v>
      </c>
      <c r="D689">
        <v>645</v>
      </c>
      <c r="E689" s="11">
        <v>44013</v>
      </c>
      <c r="F689" s="38">
        <v>645</v>
      </c>
      <c r="G689" s="38">
        <v>322.5</v>
      </c>
      <c r="H689">
        <v>50</v>
      </c>
    </row>
    <row r="690" spans="1:8" x14ac:dyDescent="0.25">
      <c r="A690">
        <v>5</v>
      </c>
      <c r="B690">
        <v>827058</v>
      </c>
      <c r="C690" t="s">
        <v>1</v>
      </c>
      <c r="D690">
        <v>214</v>
      </c>
      <c r="E690" s="11">
        <v>43739</v>
      </c>
      <c r="F690" s="38">
        <v>642</v>
      </c>
      <c r="G690" s="38">
        <v>267.5</v>
      </c>
      <c r="H690">
        <v>58.33</v>
      </c>
    </row>
    <row r="691" spans="1:8" x14ac:dyDescent="0.25">
      <c r="A691">
        <v>3</v>
      </c>
      <c r="B691">
        <v>227728</v>
      </c>
      <c r="C691" t="s">
        <v>0</v>
      </c>
      <c r="D691">
        <v>615</v>
      </c>
      <c r="E691" s="11">
        <v>44166</v>
      </c>
      <c r="F691" s="38">
        <v>615</v>
      </c>
      <c r="G691" s="38">
        <v>307.5</v>
      </c>
      <c r="H691">
        <v>50</v>
      </c>
    </row>
    <row r="692" spans="1:8" x14ac:dyDescent="0.25">
      <c r="A692">
        <v>5</v>
      </c>
      <c r="B692">
        <v>280321</v>
      </c>
      <c r="C692" t="s">
        <v>0</v>
      </c>
      <c r="D692">
        <v>604</v>
      </c>
      <c r="E692" s="11">
        <v>43983</v>
      </c>
      <c r="F692" s="38">
        <v>604</v>
      </c>
      <c r="G692" s="38">
        <v>302</v>
      </c>
      <c r="H692">
        <v>50</v>
      </c>
    </row>
    <row r="693" spans="1:8" x14ac:dyDescent="0.25">
      <c r="A693">
        <v>2</v>
      </c>
      <c r="B693">
        <v>894001</v>
      </c>
      <c r="C693" t="s">
        <v>0</v>
      </c>
      <c r="D693">
        <v>546</v>
      </c>
      <c r="E693" s="11">
        <v>44105</v>
      </c>
      <c r="F693" s="38">
        <v>546</v>
      </c>
      <c r="G693" s="38">
        <v>273</v>
      </c>
      <c r="H693">
        <v>50</v>
      </c>
    </row>
    <row r="694" spans="1:8" x14ac:dyDescent="0.25">
      <c r="A694">
        <v>2</v>
      </c>
      <c r="B694">
        <v>154432</v>
      </c>
      <c r="C694" t="s">
        <v>0</v>
      </c>
      <c r="D694">
        <v>544</v>
      </c>
      <c r="E694" s="11">
        <v>44075</v>
      </c>
      <c r="F694" s="38">
        <v>544</v>
      </c>
      <c r="G694" s="38">
        <v>272</v>
      </c>
      <c r="H694">
        <v>50</v>
      </c>
    </row>
    <row r="695" spans="1:8" x14ac:dyDescent="0.25">
      <c r="A695">
        <v>5</v>
      </c>
      <c r="B695">
        <v>119754</v>
      </c>
      <c r="C695" t="s">
        <v>0</v>
      </c>
      <c r="D695">
        <v>488</v>
      </c>
      <c r="E695" s="11">
        <v>43862</v>
      </c>
      <c r="F695" s="38">
        <v>488</v>
      </c>
      <c r="G695" s="38">
        <v>244</v>
      </c>
      <c r="H695">
        <v>50</v>
      </c>
    </row>
    <row r="696" spans="1:8" x14ac:dyDescent="0.25">
      <c r="A696">
        <v>2</v>
      </c>
      <c r="B696">
        <v>397049</v>
      </c>
      <c r="C696" t="s">
        <v>0</v>
      </c>
      <c r="D696">
        <v>388</v>
      </c>
      <c r="E696" s="11">
        <v>44075</v>
      </c>
      <c r="F696" s="38">
        <v>388</v>
      </c>
      <c r="G696" s="38">
        <v>194</v>
      </c>
      <c r="H696">
        <v>50</v>
      </c>
    </row>
    <row r="697" spans="1:8" x14ac:dyDescent="0.25">
      <c r="A697">
        <v>5</v>
      </c>
      <c r="B697">
        <v>439030</v>
      </c>
      <c r="C697" t="s">
        <v>0</v>
      </c>
      <c r="D697">
        <v>345</v>
      </c>
      <c r="E697" s="11">
        <v>43739</v>
      </c>
      <c r="F697" s="38">
        <v>345</v>
      </c>
      <c r="G697" s="38">
        <v>172.5</v>
      </c>
      <c r="H697">
        <v>50</v>
      </c>
    </row>
    <row r="698" spans="1:8" x14ac:dyDescent="0.25">
      <c r="A698">
        <v>5</v>
      </c>
      <c r="B698">
        <v>254540</v>
      </c>
      <c r="C698" t="s">
        <v>0</v>
      </c>
      <c r="D698">
        <v>334</v>
      </c>
      <c r="E698" s="11">
        <v>43800</v>
      </c>
      <c r="F698" s="38">
        <v>334</v>
      </c>
      <c r="G698" s="38">
        <v>167</v>
      </c>
      <c r="H698">
        <v>50</v>
      </c>
    </row>
    <row r="699" spans="1:8" x14ac:dyDescent="0.25">
      <c r="A699">
        <v>2</v>
      </c>
      <c r="B699">
        <v>503591</v>
      </c>
      <c r="C699" t="s">
        <v>0</v>
      </c>
      <c r="D699">
        <v>322</v>
      </c>
      <c r="E699" s="11">
        <v>43709</v>
      </c>
      <c r="F699" s="38">
        <v>322</v>
      </c>
      <c r="G699" s="38">
        <v>161</v>
      </c>
      <c r="H699">
        <v>50</v>
      </c>
    </row>
    <row r="700" spans="1:8" x14ac:dyDescent="0.25">
      <c r="A700">
        <v>4</v>
      </c>
      <c r="B700">
        <v>715966</v>
      </c>
      <c r="C700" t="s">
        <v>0</v>
      </c>
      <c r="D700">
        <v>293</v>
      </c>
      <c r="E700" s="11">
        <v>43862</v>
      </c>
      <c r="F700" s="38">
        <v>293</v>
      </c>
      <c r="G700" s="38">
        <v>146.5</v>
      </c>
      <c r="H700">
        <v>50</v>
      </c>
    </row>
    <row r="701" spans="1:8" x14ac:dyDescent="0.25">
      <c r="A701">
        <v>2</v>
      </c>
      <c r="B701">
        <v>205221</v>
      </c>
      <c r="C701" t="s">
        <v>0</v>
      </c>
      <c r="D701">
        <v>200</v>
      </c>
      <c r="E701" s="11">
        <v>43952</v>
      </c>
      <c r="F701" s="38">
        <v>200</v>
      </c>
      <c r="G701" s="38">
        <v>100</v>
      </c>
      <c r="H701">
        <v>50</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147A-3B3B-409E-9023-572113A8744E}">
  <dimension ref="C1:AL23"/>
  <sheetViews>
    <sheetView topLeftCell="V1" zoomScale="80" zoomScaleNormal="80" workbookViewId="0"/>
  </sheetViews>
  <sheetFormatPr defaultRowHeight="15" x14ac:dyDescent="0.25"/>
  <cols>
    <col min="1" max="1" width="25.140625" bestFit="1" customWidth="1"/>
    <col min="3" max="3" width="23.140625" bestFit="1" customWidth="1"/>
    <col min="4" max="4" width="23.140625" customWidth="1"/>
    <col min="5" max="5" width="16.7109375" bestFit="1" customWidth="1"/>
    <col min="6" max="6" width="17.28515625" bestFit="1" customWidth="1"/>
    <col min="7" max="7" width="26.28515625" bestFit="1" customWidth="1"/>
    <col min="8" max="8" width="26.28515625" customWidth="1"/>
    <col min="9" max="9" width="30.5703125" bestFit="1" customWidth="1"/>
    <col min="10" max="10" width="30.5703125" customWidth="1"/>
    <col min="11" max="11" width="23.140625" bestFit="1" customWidth="1"/>
    <col min="12" max="12" width="22.28515625" bestFit="1" customWidth="1"/>
    <col min="13" max="14" width="16.7109375" bestFit="1" customWidth="1"/>
    <col min="15" max="15" width="17.140625" customWidth="1"/>
    <col min="16" max="16" width="22.28515625" bestFit="1" customWidth="1"/>
    <col min="17" max="17" width="17.28515625" bestFit="1" customWidth="1"/>
    <col min="18" max="19" width="17.140625" customWidth="1"/>
    <col min="20" max="20" width="16.7109375" customWidth="1"/>
    <col min="21" max="21" width="30.5703125" bestFit="1" customWidth="1"/>
    <col min="22" max="22" width="8.85546875" bestFit="1" customWidth="1"/>
    <col min="23" max="23" width="6" bestFit="1" customWidth="1"/>
    <col min="25" max="25" width="30.5703125" bestFit="1" customWidth="1"/>
    <col min="26" max="26" width="16.7109375" bestFit="1" customWidth="1"/>
    <col min="28" max="28" width="13.28515625" bestFit="1" customWidth="1"/>
    <col min="29" max="29" width="23.140625" bestFit="1" customWidth="1"/>
    <col min="31" max="31" width="30.5703125" bestFit="1" customWidth="1"/>
    <col min="32" max="32" width="22.28515625" bestFit="1" customWidth="1"/>
    <col min="33" max="33" width="16.7109375" bestFit="1" customWidth="1"/>
    <col min="34" max="34" width="13.28515625" bestFit="1" customWidth="1"/>
    <col min="35" max="35" width="21.140625" bestFit="1" customWidth="1"/>
    <col min="36" max="36" width="17" bestFit="1" customWidth="1"/>
  </cols>
  <sheetData>
    <row r="1" spans="3:38" ht="15.75" thickBot="1" x14ac:dyDescent="0.3"/>
    <row r="2" spans="3:38" x14ac:dyDescent="0.25">
      <c r="U2" s="50" t="s">
        <v>38</v>
      </c>
      <c r="V2" s="51"/>
      <c r="W2" s="51"/>
      <c r="X2" s="51"/>
      <c r="Y2" s="51"/>
      <c r="Z2" s="51"/>
      <c r="AA2" s="51"/>
      <c r="AB2" s="51"/>
      <c r="AC2" s="51"/>
      <c r="AD2" s="51"/>
      <c r="AE2" s="51"/>
      <c r="AF2" s="51"/>
      <c r="AG2" s="51"/>
      <c r="AH2" s="51"/>
      <c r="AI2" s="51"/>
      <c r="AJ2" s="52"/>
    </row>
    <row r="3" spans="3:38" ht="15.75" thickBot="1" x14ac:dyDescent="0.3">
      <c r="U3" s="53"/>
      <c r="V3" s="54"/>
      <c r="W3" s="54"/>
      <c r="X3" s="54"/>
      <c r="Y3" s="54"/>
      <c r="Z3" s="54"/>
      <c r="AA3" s="54"/>
      <c r="AB3" s="54"/>
      <c r="AC3" s="54"/>
      <c r="AD3" s="54"/>
      <c r="AE3" s="54"/>
      <c r="AF3" s="54"/>
      <c r="AG3" s="54"/>
      <c r="AH3" s="54"/>
      <c r="AI3" s="54"/>
      <c r="AJ3" s="55"/>
    </row>
    <row r="4" spans="3:38" x14ac:dyDescent="0.25">
      <c r="U4" s="28"/>
      <c r="V4" s="59"/>
      <c r="W4" s="59"/>
      <c r="X4" s="27"/>
      <c r="Y4" s="29"/>
      <c r="Z4" s="27"/>
      <c r="AA4" s="27"/>
      <c r="AB4" s="29"/>
      <c r="AC4" s="27"/>
      <c r="AD4" s="27"/>
      <c r="AE4" s="29"/>
      <c r="AF4" s="27"/>
      <c r="AG4" s="27"/>
      <c r="AH4" s="29"/>
      <c r="AI4" s="29"/>
      <c r="AJ4" s="27"/>
      <c r="AK4" s="27"/>
      <c r="AL4" s="27"/>
    </row>
    <row r="5" spans="3:38" x14ac:dyDescent="0.25">
      <c r="U5" s="56" t="s">
        <v>60</v>
      </c>
      <c r="V5" s="57"/>
      <c r="W5" s="58"/>
      <c r="X5" s="27"/>
      <c r="Y5" s="56" t="s">
        <v>46</v>
      </c>
      <c r="Z5" s="58"/>
      <c r="AA5" s="27"/>
      <c r="AB5" s="56" t="s">
        <v>47</v>
      </c>
      <c r="AC5" s="58"/>
      <c r="AD5" s="27"/>
      <c r="AE5" s="56" t="s">
        <v>48</v>
      </c>
      <c r="AF5" s="58"/>
      <c r="AG5" s="27"/>
      <c r="AH5" s="56" t="s">
        <v>49</v>
      </c>
      <c r="AI5" s="57"/>
      <c r="AJ5" s="58"/>
    </row>
    <row r="6" spans="3:38" x14ac:dyDescent="0.25">
      <c r="C6" t="s">
        <v>16</v>
      </c>
      <c r="E6" t="s">
        <v>17</v>
      </c>
      <c r="F6" t="s">
        <v>18</v>
      </c>
      <c r="G6" t="s">
        <v>19</v>
      </c>
      <c r="I6" s="2" t="s">
        <v>14</v>
      </c>
      <c r="J6" t="s">
        <v>17</v>
      </c>
      <c r="L6" t="s">
        <v>13</v>
      </c>
      <c r="N6" t="s">
        <v>17</v>
      </c>
      <c r="P6" t="s">
        <v>13</v>
      </c>
      <c r="Q6" t="s">
        <v>18</v>
      </c>
      <c r="R6" t="s">
        <v>20</v>
      </c>
      <c r="U6" s="25" t="s">
        <v>14</v>
      </c>
      <c r="V6" s="26" t="s">
        <v>24</v>
      </c>
      <c r="W6" s="26" t="s">
        <v>25</v>
      </c>
      <c r="Y6" s="25" t="s">
        <v>14</v>
      </c>
      <c r="Z6" s="26" t="s">
        <v>17</v>
      </c>
      <c r="AB6" s="25" t="s">
        <v>14</v>
      </c>
      <c r="AC6" s="26" t="s">
        <v>16</v>
      </c>
      <c r="AE6" s="25" t="s">
        <v>14</v>
      </c>
      <c r="AF6" s="26" t="s">
        <v>13</v>
      </c>
      <c r="AH6" s="25" t="s">
        <v>14</v>
      </c>
      <c r="AI6" s="26" t="s">
        <v>22</v>
      </c>
      <c r="AJ6" s="26" t="s">
        <v>23</v>
      </c>
    </row>
    <row r="7" spans="3:38" x14ac:dyDescent="0.25">
      <c r="C7" s="4">
        <v>57.29857142857152</v>
      </c>
      <c r="D7" s="4"/>
      <c r="E7" s="5">
        <v>1125824</v>
      </c>
      <c r="F7" s="5">
        <v>700</v>
      </c>
      <c r="G7" s="5">
        <f>GETPIVOTDATA("Sum of Units Sold",$E$6)/GETPIVOTDATA("Count of Order_ID",$E$6)</f>
        <v>1608.32</v>
      </c>
      <c r="H7" s="5"/>
      <c r="I7" s="3" t="s">
        <v>3</v>
      </c>
      <c r="J7" s="4">
        <v>338243</v>
      </c>
      <c r="L7" s="7">
        <v>2717064.4299999988</v>
      </c>
      <c r="N7" s="5">
        <v>1125824</v>
      </c>
      <c r="O7" s="5"/>
      <c r="P7" s="7">
        <v>2717064.4299999988</v>
      </c>
      <c r="Q7" s="7">
        <v>700</v>
      </c>
      <c r="R7" s="7">
        <f>GETPIVOTDATA("Sum of Estimated Profit",$P$6)/GETPIVOTDATA("Count of Order_ID",$P$6)</f>
        <v>3881.5206142857123</v>
      </c>
      <c r="S7" s="5"/>
      <c r="T7" s="5"/>
      <c r="U7" s="22" t="s">
        <v>3</v>
      </c>
      <c r="V7" s="16">
        <v>8372.264851485148</v>
      </c>
      <c r="W7" s="16">
        <v>5023.3589108910892</v>
      </c>
      <c r="Y7" s="22" t="s">
        <v>3</v>
      </c>
      <c r="Z7" s="16">
        <v>338243</v>
      </c>
      <c r="AB7" s="22">
        <v>1</v>
      </c>
      <c r="AC7" s="23">
        <v>57.273695652173913</v>
      </c>
      <c r="AE7" s="22" t="s">
        <v>3</v>
      </c>
      <c r="AF7" s="39">
        <v>1014718.5</v>
      </c>
      <c r="AH7" s="22">
        <v>1</v>
      </c>
      <c r="AI7" s="16">
        <v>128772</v>
      </c>
      <c r="AJ7" s="16">
        <v>302197.39000000007</v>
      </c>
    </row>
    <row r="8" spans="3:38" x14ac:dyDescent="0.25">
      <c r="I8" s="3" t="s">
        <v>15</v>
      </c>
      <c r="J8" s="4">
        <v>338243</v>
      </c>
      <c r="U8" s="22" t="s">
        <v>0</v>
      </c>
      <c r="V8" s="16">
        <v>1658.0430107526881</v>
      </c>
      <c r="W8" s="16">
        <v>829.02150537634407</v>
      </c>
      <c r="Y8" s="22" t="s">
        <v>0</v>
      </c>
      <c r="Z8" s="16">
        <v>154201</v>
      </c>
      <c r="AB8" s="22">
        <v>2</v>
      </c>
      <c r="AC8" s="23">
        <v>57.124848484848485</v>
      </c>
      <c r="AE8" s="22" t="s">
        <v>0</v>
      </c>
      <c r="AF8" s="39">
        <v>77099</v>
      </c>
      <c r="AH8" s="22">
        <v>2</v>
      </c>
      <c r="AI8" s="16">
        <v>221026</v>
      </c>
      <c r="AJ8" s="16">
        <v>523315.44</v>
      </c>
    </row>
    <row r="9" spans="3:38" x14ac:dyDescent="0.25">
      <c r="C9" s="6">
        <f>ROUND(GETPIVOTDATA("Profit Margin",$C$6),2)</f>
        <v>57.3</v>
      </c>
      <c r="P9" s="5"/>
      <c r="Q9" s="5"/>
      <c r="U9" s="22" t="s">
        <v>4</v>
      </c>
      <c r="V9" s="16">
        <v>8261.4361702127662</v>
      </c>
      <c r="W9" s="16">
        <v>4626.4042553191503</v>
      </c>
      <c r="Y9" s="22" t="s">
        <v>4</v>
      </c>
      <c r="Z9" s="16">
        <v>155318</v>
      </c>
      <c r="AB9" s="22">
        <v>3</v>
      </c>
      <c r="AC9" s="23">
        <v>57.320485436893208</v>
      </c>
      <c r="AE9" s="22" t="s">
        <v>4</v>
      </c>
      <c r="AF9" s="39">
        <v>434882.00000000012</v>
      </c>
      <c r="AH9" s="22">
        <v>3</v>
      </c>
      <c r="AI9" s="16">
        <v>329681</v>
      </c>
      <c r="AJ9" s="16">
        <v>828377.41000000015</v>
      </c>
    </row>
    <row r="10" spans="3:38" x14ac:dyDescent="0.25">
      <c r="G10" s="7">
        <f>G7</f>
        <v>1608.32</v>
      </c>
      <c r="L10" s="7">
        <f>GETPIVOTDATA("Estimated Profit",$L$6)</f>
        <v>2717064.4299999988</v>
      </c>
      <c r="U10" s="22" t="s">
        <v>2</v>
      </c>
      <c r="V10" s="16">
        <v>6315.9569892473119</v>
      </c>
      <c r="W10" s="16">
        <v>3947.4731182795699</v>
      </c>
      <c r="Y10" s="22" t="s">
        <v>2</v>
      </c>
      <c r="Z10" s="16">
        <v>146849</v>
      </c>
      <c r="AB10" s="22">
        <v>4</v>
      </c>
      <c r="AC10" s="23">
        <v>57.232051282051273</v>
      </c>
      <c r="AE10" s="22" t="s">
        <v>2</v>
      </c>
      <c r="AF10" s="39">
        <v>367115</v>
      </c>
      <c r="AH10" s="22">
        <v>4</v>
      </c>
      <c r="AI10" s="16">
        <v>266896</v>
      </c>
      <c r="AJ10" s="16">
        <v>639674.56000000006</v>
      </c>
    </row>
    <row r="11" spans="3:38" x14ac:dyDescent="0.25">
      <c r="U11" s="22" t="s">
        <v>1</v>
      </c>
      <c r="V11" s="16">
        <v>4645.4036697247702</v>
      </c>
      <c r="W11" s="16">
        <v>2709.8191743119269</v>
      </c>
      <c r="Y11" s="22" t="s">
        <v>1</v>
      </c>
      <c r="Z11" s="16">
        <v>168787</v>
      </c>
      <c r="AB11" s="22">
        <v>5</v>
      </c>
      <c r="AC11" s="23">
        <v>57.57122807017543</v>
      </c>
      <c r="AE11" s="22" t="s">
        <v>1</v>
      </c>
      <c r="AF11" s="39">
        <v>295370.29000000004</v>
      </c>
      <c r="AH11" s="22">
        <v>5</v>
      </c>
      <c r="AI11" s="16">
        <v>179449</v>
      </c>
      <c r="AJ11" s="16">
        <v>423499.62999999995</v>
      </c>
    </row>
    <row r="12" spans="3:38" x14ac:dyDescent="0.25">
      <c r="U12" s="22" t="s">
        <v>5</v>
      </c>
      <c r="V12" s="16">
        <v>8940.798165137614</v>
      </c>
      <c r="W12" s="16">
        <v>4842.9324770642206</v>
      </c>
      <c r="Y12" s="22" t="s">
        <v>5</v>
      </c>
      <c r="Z12" s="16">
        <v>162426</v>
      </c>
      <c r="AB12" s="22" t="s">
        <v>15</v>
      </c>
      <c r="AC12" s="23">
        <v>57.298571428571449</v>
      </c>
      <c r="AE12" s="22" t="s">
        <v>5</v>
      </c>
      <c r="AF12" s="39">
        <v>527879.64</v>
      </c>
      <c r="AH12" s="22" t="s">
        <v>15</v>
      </c>
      <c r="AI12" s="16">
        <v>1125824</v>
      </c>
      <c r="AJ12" s="16">
        <v>2717064.43</v>
      </c>
    </row>
    <row r="13" spans="3:38" x14ac:dyDescent="0.25">
      <c r="U13" s="22" t="s">
        <v>15</v>
      </c>
      <c r="V13" s="16">
        <v>6700.357857142857</v>
      </c>
      <c r="W13" s="16">
        <v>3881.5206142857119</v>
      </c>
      <c r="Y13" s="22" t="s">
        <v>15</v>
      </c>
      <c r="Z13" s="16">
        <v>1125824</v>
      </c>
      <c r="AE13" s="22" t="s">
        <v>15</v>
      </c>
      <c r="AF13" s="39">
        <v>2717064.43</v>
      </c>
    </row>
    <row r="17" spans="25:26" x14ac:dyDescent="0.25">
      <c r="Y17" s="15" t="str">
        <f>Y6</f>
        <v>Row Labels</v>
      </c>
      <c r="Z17" s="15" t="str">
        <f>Z6</f>
        <v>Sum of Units Sold</v>
      </c>
    </row>
    <row r="18" spans="25:26" x14ac:dyDescent="0.25">
      <c r="Y18" s="17" t="str">
        <f t="shared" ref="Y18:Y23" si="0">Y7</f>
        <v>Chocolate Chip</v>
      </c>
      <c r="Z18" s="16">
        <f>GETPIVOTDATA("Units Sold",$Y$6,"Product Name",Y18)</f>
        <v>338243</v>
      </c>
    </row>
    <row r="19" spans="25:26" x14ac:dyDescent="0.25">
      <c r="Y19" s="17" t="str">
        <f t="shared" si="0"/>
        <v>Fortune Cookie</v>
      </c>
      <c r="Z19" s="16">
        <f t="shared" ref="Z19:Z23" si="1">GETPIVOTDATA("Units Sold",$Y$6,"Product Name",Y19)</f>
        <v>154201</v>
      </c>
    </row>
    <row r="20" spans="25:26" x14ac:dyDescent="0.25">
      <c r="Y20" s="17" t="str">
        <f t="shared" si="0"/>
        <v>Oatmeal Raisin</v>
      </c>
      <c r="Z20" s="16">
        <f t="shared" si="1"/>
        <v>155318</v>
      </c>
    </row>
    <row r="21" spans="25:26" x14ac:dyDescent="0.25">
      <c r="Y21" s="17" t="str">
        <f t="shared" si="0"/>
        <v>Snickerdoodle</v>
      </c>
      <c r="Z21" s="16">
        <f t="shared" si="1"/>
        <v>146849</v>
      </c>
    </row>
    <row r="22" spans="25:26" x14ac:dyDescent="0.25">
      <c r="Y22" s="17" t="str">
        <f t="shared" si="0"/>
        <v>Sugar</v>
      </c>
      <c r="Z22" s="16">
        <f t="shared" si="1"/>
        <v>168787</v>
      </c>
    </row>
    <row r="23" spans="25:26" x14ac:dyDescent="0.25">
      <c r="Y23" s="17" t="str">
        <f t="shared" si="0"/>
        <v>White Chocolate Macadamia Nut</v>
      </c>
      <c r="Z23" s="16">
        <f t="shared" si="1"/>
        <v>162426</v>
      </c>
    </row>
  </sheetData>
  <mergeCells count="7">
    <mergeCell ref="U2:AJ3"/>
    <mergeCell ref="U5:W5"/>
    <mergeCell ref="Y5:Z5"/>
    <mergeCell ref="AH5:AJ5"/>
    <mergeCell ref="AE5:AF5"/>
    <mergeCell ref="AB5:AC5"/>
    <mergeCell ref="V4:W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1917C-D0FA-4ECE-86A1-542A29D89DA3}">
  <dimension ref="A1"/>
  <sheetViews>
    <sheetView showGridLines="0" showRowColHeaders="0" zoomScale="80" zoomScaleNormal="80" workbookViewId="0"/>
  </sheetViews>
  <sheetFormatPr defaultRowHeight="15" x14ac:dyDescent="0.25"/>
  <cols>
    <col min="1" max="16384" width="9.140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V1</vt:lpstr>
      <vt:lpstr>V2</vt:lpstr>
      <vt:lpstr>V3</vt:lpstr>
      <vt:lpstr>V4</vt:lpstr>
      <vt:lpstr>V5</vt:lpstr>
      <vt:lpstr>V6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Anash mohmad</dc:creator>
  <cp:lastModifiedBy>Anash mohmad</cp:lastModifiedBy>
  <cp:lastPrinted>2026-04-15T18:04:22Z</cp:lastPrinted>
  <dcterms:created xsi:type="dcterms:W3CDTF">2026-03-16T17:45:32Z</dcterms:created>
  <dcterms:modified xsi:type="dcterms:W3CDTF">2026-06-18T15:04:23Z</dcterms:modified>
</cp:coreProperties>
</file>